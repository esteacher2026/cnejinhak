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27입시\26 대학설명회\성균관대\"/>
    </mc:Choice>
  </mc:AlternateContent>
  <xr:revisionPtr revIDLastSave="0" documentId="13_ncr:1_{11D119C7-38EE-442F-8374-836DE6C81B0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입시결과" sheetId="2" r:id="rId1"/>
    <sheet name="2026" sheetId="4" r:id="rId2"/>
    <sheet name="2025" sheetId="6" r:id="rId3"/>
    <sheet name="2024" sheetId="8" r:id="rId4"/>
  </sheets>
  <definedNames>
    <definedName name="_xlnm._FilterDatabase" localSheetId="3" hidden="1">'2024'!$B$2:$J$2</definedName>
    <definedName name="_xlnm._FilterDatabase" localSheetId="2" hidden="1">'2025'!$B$2:$J$2</definedName>
    <definedName name="_xlnm._FilterDatabase" localSheetId="1" hidden="1">'2026'!$A$2:$E$2</definedName>
    <definedName name="_xlnm._FilterDatabase" localSheetId="0" hidden="1">입시결과!$B$3:$AB$3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6" i="8" l="1"/>
  <c r="J33" i="8"/>
  <c r="J9" i="8"/>
  <c r="I26" i="8"/>
  <c r="I33" i="8"/>
  <c r="I9" i="8"/>
  <c r="J35" i="8"/>
  <c r="I35" i="8"/>
  <c r="J24" i="8"/>
  <c r="I24" i="8"/>
  <c r="J23" i="8"/>
  <c r="I23" i="8"/>
  <c r="J8" i="8"/>
  <c r="I8" i="8"/>
  <c r="J3" i="8"/>
  <c r="I3" i="8"/>
  <c r="J19" i="8"/>
  <c r="I19" i="8"/>
  <c r="J27" i="8"/>
  <c r="I27" i="8"/>
  <c r="J29" i="8"/>
  <c r="I29" i="8"/>
  <c r="J18" i="8"/>
  <c r="I18" i="8"/>
  <c r="J32" i="8"/>
  <c r="I32" i="8"/>
  <c r="J31" i="8"/>
  <c r="I31" i="8"/>
  <c r="J15" i="8"/>
  <c r="I15" i="8"/>
  <c r="J14" i="8"/>
  <c r="I14" i="8"/>
  <c r="J12" i="8"/>
  <c r="I12" i="8"/>
  <c r="J5" i="8"/>
  <c r="I5" i="8"/>
  <c r="J22" i="8"/>
  <c r="I22" i="8"/>
  <c r="J28" i="8"/>
  <c r="I28" i="8"/>
  <c r="J7" i="8"/>
  <c r="I7" i="8"/>
  <c r="J34" i="8"/>
  <c r="I34" i="8"/>
  <c r="J30" i="8"/>
  <c r="I30" i="8"/>
  <c r="J17" i="8"/>
  <c r="I17" i="8"/>
  <c r="J6" i="8"/>
  <c r="I6" i="8"/>
  <c r="J10" i="8"/>
  <c r="I10" i="8"/>
  <c r="J21" i="8"/>
  <c r="I21" i="8"/>
  <c r="J16" i="8"/>
  <c r="I16" i="8"/>
  <c r="J25" i="8"/>
  <c r="I25" i="8"/>
  <c r="J13" i="8"/>
  <c r="I13" i="8"/>
  <c r="J11" i="8"/>
  <c r="I11" i="8"/>
  <c r="J4" i="8"/>
  <c r="I4" i="8"/>
  <c r="J20" i="8"/>
  <c r="I20" i="8"/>
  <c r="J8" i="6" l="1"/>
  <c r="I8" i="6"/>
  <c r="J32" i="6"/>
  <c r="I32" i="6"/>
  <c r="J25" i="6"/>
  <c r="I25" i="6"/>
  <c r="J16" i="6"/>
  <c r="I16" i="6"/>
  <c r="J12" i="6"/>
  <c r="I12" i="6"/>
  <c r="J33" i="6"/>
  <c r="I33" i="6"/>
  <c r="J4" i="6"/>
  <c r="I4" i="6"/>
  <c r="J19" i="6"/>
  <c r="I19" i="6"/>
  <c r="J3" i="6"/>
  <c r="I3" i="6"/>
  <c r="J28" i="6"/>
  <c r="I28" i="6"/>
  <c r="J24" i="6"/>
  <c r="I24" i="6"/>
  <c r="J30" i="6"/>
  <c r="I30" i="6"/>
  <c r="J34" i="6"/>
  <c r="I34" i="6"/>
  <c r="J14" i="6"/>
  <c r="I14" i="6"/>
  <c r="J29" i="6"/>
  <c r="I29" i="6"/>
  <c r="J27" i="6"/>
  <c r="I27" i="6"/>
  <c r="J37" i="6"/>
  <c r="I37" i="6"/>
  <c r="J11" i="6"/>
  <c r="I11" i="6"/>
  <c r="J6" i="6"/>
  <c r="I6" i="6"/>
  <c r="J9" i="6"/>
  <c r="I9" i="6"/>
  <c r="J21" i="6"/>
  <c r="I21" i="6"/>
  <c r="J26" i="6"/>
  <c r="I26" i="6"/>
  <c r="J31" i="6"/>
  <c r="I31" i="6"/>
  <c r="J23" i="6"/>
  <c r="I23" i="6"/>
  <c r="J15" i="6"/>
  <c r="I15" i="6"/>
  <c r="J17" i="6"/>
  <c r="I17" i="6"/>
  <c r="J13" i="6"/>
  <c r="I13" i="6"/>
  <c r="J35" i="6"/>
  <c r="I35" i="6"/>
  <c r="J18" i="6"/>
  <c r="I18" i="6"/>
  <c r="J5" i="6"/>
  <c r="I5" i="6"/>
  <c r="J20" i="6"/>
  <c r="I20" i="6"/>
  <c r="J36" i="6"/>
  <c r="I36" i="6"/>
  <c r="J7" i="6"/>
  <c r="I7" i="6"/>
  <c r="J10" i="6"/>
  <c r="I10" i="6"/>
  <c r="J22" i="6"/>
  <c r="I22" i="6"/>
  <c r="I40" i="4" l="1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4" i="4"/>
  <c r="I4" i="4"/>
  <c r="J3" i="4"/>
  <c r="I3" i="4"/>
  <c r="Y9" i="2"/>
  <c r="X9" i="2"/>
  <c r="P9" i="2"/>
  <c r="O9" i="2"/>
  <c r="Y33" i="2"/>
  <c r="X33" i="2"/>
  <c r="P33" i="2"/>
  <c r="O33" i="2"/>
  <c r="Y23" i="2"/>
  <c r="X23" i="2"/>
  <c r="P23" i="2"/>
  <c r="O23" i="2"/>
  <c r="Y13" i="2"/>
  <c r="X13" i="2"/>
  <c r="P13" i="2"/>
  <c r="O13" i="2"/>
  <c r="Y16" i="2"/>
  <c r="X16" i="2"/>
  <c r="P16" i="2"/>
  <c r="O16" i="2"/>
  <c r="Y25" i="2"/>
  <c r="X25" i="2"/>
  <c r="P25" i="2"/>
  <c r="O25" i="2"/>
  <c r="Y4" i="2"/>
  <c r="X4" i="2"/>
  <c r="P4" i="2"/>
  <c r="O4" i="2"/>
  <c r="P12" i="2"/>
  <c r="O12" i="2"/>
  <c r="Y6" i="2"/>
  <c r="X6" i="2"/>
  <c r="P6" i="2"/>
  <c r="O6" i="2"/>
  <c r="Y22" i="2"/>
  <c r="X22" i="2"/>
  <c r="P22" i="2"/>
  <c r="O22" i="2"/>
  <c r="Y32" i="2"/>
  <c r="X32" i="2"/>
  <c r="P32" i="2"/>
  <c r="O32" i="2"/>
  <c r="Y29" i="2"/>
  <c r="X29" i="2"/>
  <c r="P29" i="2"/>
  <c r="O29" i="2"/>
  <c r="Y30" i="2"/>
  <c r="X30" i="2"/>
  <c r="P30" i="2"/>
  <c r="O30" i="2"/>
  <c r="Y14" i="2"/>
  <c r="X14" i="2"/>
  <c r="P14" i="2"/>
  <c r="O14" i="2"/>
  <c r="Y28" i="2"/>
  <c r="X28" i="2"/>
  <c r="P28" i="2"/>
  <c r="O28" i="2"/>
  <c r="Y20" i="2"/>
  <c r="X20" i="2"/>
  <c r="P20" i="2"/>
  <c r="O20" i="2"/>
  <c r="Y36" i="2"/>
  <c r="X36" i="2"/>
  <c r="P36" i="2"/>
  <c r="O36" i="2"/>
  <c r="Y34" i="2"/>
  <c r="X34" i="2"/>
  <c r="P34" i="2"/>
  <c r="O34" i="2"/>
  <c r="Y40" i="2"/>
  <c r="X40" i="2"/>
  <c r="P40" i="2"/>
  <c r="O40" i="2"/>
  <c r="Y5" i="2"/>
  <c r="X5" i="2"/>
  <c r="P5" i="2"/>
  <c r="O5" i="2"/>
  <c r="Y39" i="2"/>
  <c r="X39" i="2"/>
  <c r="P39" i="2"/>
  <c r="O39" i="2"/>
  <c r="Y27" i="2"/>
  <c r="X27" i="2"/>
  <c r="P27" i="2"/>
  <c r="O27" i="2"/>
  <c r="Y15" i="2"/>
  <c r="X15" i="2"/>
  <c r="P15" i="2"/>
  <c r="O15" i="2"/>
  <c r="Y37" i="2"/>
  <c r="X37" i="2"/>
  <c r="P37" i="2"/>
  <c r="O37" i="2"/>
  <c r="Y10" i="2"/>
  <c r="X10" i="2"/>
  <c r="P10" i="2"/>
  <c r="O10" i="2"/>
  <c r="Y19" i="2"/>
  <c r="X19" i="2"/>
  <c r="P19" i="2"/>
  <c r="O19" i="2"/>
  <c r="Y8" i="2"/>
  <c r="X8" i="2"/>
  <c r="P8" i="2"/>
  <c r="O8" i="2"/>
  <c r="Y17" i="2"/>
  <c r="X17" i="2"/>
  <c r="P17" i="2"/>
  <c r="O17" i="2"/>
  <c r="Y18" i="2"/>
  <c r="X18" i="2"/>
  <c r="P18" i="2"/>
  <c r="O18" i="2"/>
  <c r="Y21" i="2"/>
  <c r="X21" i="2"/>
  <c r="P21" i="2"/>
  <c r="O21" i="2"/>
  <c r="Y35" i="2"/>
  <c r="X35" i="2"/>
  <c r="P35" i="2"/>
  <c r="O35" i="2"/>
  <c r="Y26" i="2"/>
  <c r="X26" i="2"/>
  <c r="P26" i="2"/>
  <c r="O26" i="2"/>
  <c r="Y7" i="2"/>
  <c r="X7" i="2"/>
  <c r="P7" i="2"/>
  <c r="O7" i="2"/>
  <c r="Y38" i="2"/>
  <c r="X38" i="2"/>
  <c r="P38" i="2"/>
  <c r="O38" i="2"/>
  <c r="Y31" i="2"/>
  <c r="X31" i="2"/>
  <c r="P31" i="2"/>
  <c r="O31" i="2"/>
</calcChain>
</file>

<file path=xl/sharedStrings.xml><?xml version="1.0" encoding="utf-8"?>
<sst xmlns="http://schemas.openxmlformats.org/spreadsheetml/2006/main" count="339" uniqueCount="54">
  <si>
    <t>모집단위</t>
  </si>
  <si>
    <t>모집인원(명)</t>
  </si>
  <si>
    <t>합격인원(명)</t>
  </si>
  <si>
    <t>충원인원(명)</t>
  </si>
  <si>
    <t>충원율(%)</t>
  </si>
  <si>
    <t>50%cut</t>
  </si>
  <si>
    <t>70%cut</t>
  </si>
  <si>
    <t>100%cut</t>
  </si>
  <si>
    <t>건축학과(5년제)</t>
  </si>
  <si>
    <t>3합7</t>
  </si>
  <si>
    <t>경영학과</t>
  </si>
  <si>
    <t>공학계열</t>
  </si>
  <si>
    <t>교육학과</t>
  </si>
  <si>
    <t>국어국문학과</t>
  </si>
  <si>
    <t>글로벌경영학과</t>
  </si>
  <si>
    <t>3합6</t>
  </si>
  <si>
    <t>글로벌경제학과</t>
  </si>
  <si>
    <t>글로벌리더학부</t>
  </si>
  <si>
    <t>물리학과</t>
  </si>
  <si>
    <t>반도체융합공학과</t>
  </si>
  <si>
    <t>사학과</t>
  </si>
  <si>
    <t>사회과학계열</t>
  </si>
  <si>
    <t>사회복지학과</t>
  </si>
  <si>
    <t>사회학과</t>
  </si>
  <si>
    <t>생명과학과</t>
  </si>
  <si>
    <t>소프트웨어학과</t>
  </si>
  <si>
    <t>수학과</t>
  </si>
  <si>
    <t>수학교육과</t>
  </si>
  <si>
    <t>심리학과</t>
  </si>
  <si>
    <t>아동청소년학과</t>
  </si>
  <si>
    <t>에너지학과</t>
  </si>
  <si>
    <t>영상학과</t>
  </si>
  <si>
    <t>의상학과</t>
  </si>
  <si>
    <t>인문과학계열</t>
  </si>
  <si>
    <t>자연과학계열</t>
  </si>
  <si>
    <t>자유전공계열</t>
  </si>
  <si>
    <t>전자전기공학부</t>
  </si>
  <si>
    <t>철학과</t>
  </si>
  <si>
    <t>컴퓨터교육과</t>
  </si>
  <si>
    <t>통계학과</t>
  </si>
  <si>
    <t>한문교육과</t>
  </si>
  <si>
    <t>한문학과</t>
  </si>
  <si>
    <t>화학과</t>
  </si>
  <si>
    <t>26 성균관대학교 학교장추천(교과) 입시 결과</t>
  </si>
  <si>
    <t>지원인원</t>
  </si>
  <si>
    <t>경쟁률</t>
  </si>
  <si>
    <t>건설환경공학부</t>
  </si>
  <si>
    <t>글로벌바이오메디컬공학과</t>
  </si>
  <si>
    <t>바이오의약·규제과학과</t>
  </si>
  <si>
    <t>배터리학과</t>
  </si>
  <si>
    <t>유학·동양학과</t>
  </si>
  <si>
    <t>비고)수능최저기준</t>
    <phoneticPr fontId="2" type="noConversion"/>
  </si>
  <si>
    <t>비고)수능최저충족률(%)</t>
    <phoneticPr fontId="2" type="noConversion"/>
  </si>
  <si>
    <t>성균관대학교 학교장추천(교과) 입시 결과(2024~2026)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</si>
</sst>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.00_);[Red]\(0.00\)"/>
    <numFmt numFmtId="178" formatCode="0_);[Red]\(0\)"/>
    <numFmt numFmtId="179" formatCode="0.0_);[Red]\(0.0\)"/>
  </numFmts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599963377788628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7">
    <xf numFmtId="0" fontId="0" fillId="0" borderId="0" xfId="0"/>
    <xf numFmtId="0" fontId="0" fillId="0" borderId="0" xfId="0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178" fontId="3" fillId="2" borderId="1" xfId="1" applyNumberFormat="1" applyFont="1" applyFill="1" applyBorder="1" applyAlignment="1">
      <alignment horizontal="center" vertical="center" shrinkToFit="1"/>
    </xf>
    <xf numFmtId="0" fontId="0" fillId="3" borderId="1" xfId="0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178" fontId="4" fillId="2" borderId="1" xfId="1" applyNumberFormat="1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176" fontId="4" fillId="2" borderId="1" xfId="1" applyNumberFormat="1" applyFont="1" applyFill="1" applyBorder="1" applyAlignment="1">
      <alignment horizontal="center" vertical="center" shrinkToFit="1"/>
    </xf>
    <xf numFmtId="178" fontId="4" fillId="3" borderId="1" xfId="1" applyNumberFormat="1" applyFont="1" applyFill="1" applyBorder="1" applyAlignment="1">
      <alignment horizontal="center" vertical="center" shrinkToFit="1"/>
    </xf>
    <xf numFmtId="179" fontId="4" fillId="3" borderId="1" xfId="1" applyNumberFormat="1" applyFont="1" applyFill="1" applyBorder="1" applyAlignment="1">
      <alignment horizontal="center" vertical="center" shrinkToFit="1"/>
    </xf>
    <xf numFmtId="176" fontId="4" fillId="3" borderId="1" xfId="1" applyNumberFormat="1" applyFont="1" applyFill="1" applyBorder="1" applyAlignment="1">
      <alignment horizontal="center" vertical="center" shrinkToFit="1"/>
    </xf>
    <xf numFmtId="177" fontId="4" fillId="3" borderId="1" xfId="1" applyNumberFormat="1" applyFont="1" applyFill="1" applyBorder="1" applyAlignment="1">
      <alignment horizontal="center" vertical="center" shrinkToFit="1"/>
    </xf>
    <xf numFmtId="178" fontId="4" fillId="4" borderId="1" xfId="1" applyNumberFormat="1" applyFont="1" applyFill="1" applyBorder="1" applyAlignment="1">
      <alignment horizontal="center" vertical="center" shrinkToFit="1"/>
    </xf>
    <xf numFmtId="179" fontId="4" fillId="4" borderId="1" xfId="1" applyNumberFormat="1" applyFont="1" applyFill="1" applyBorder="1" applyAlignment="1">
      <alignment horizontal="center" vertical="center" shrinkToFit="1"/>
    </xf>
    <xf numFmtId="176" fontId="4" fillId="4" borderId="1" xfId="1" applyNumberFormat="1" applyFont="1" applyFill="1" applyBorder="1" applyAlignment="1">
      <alignment horizontal="center" vertical="center" shrinkToFit="1"/>
    </xf>
    <xf numFmtId="177" fontId="4" fillId="4" borderId="1" xfId="1" applyNumberFormat="1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179" fontId="4" fillId="3" borderId="1" xfId="0" applyNumberFormat="1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 shrinkToFit="1"/>
    </xf>
    <xf numFmtId="179" fontId="4" fillId="4" borderId="1" xfId="0" applyNumberFormat="1" applyFont="1" applyFill="1" applyBorder="1" applyAlignment="1">
      <alignment horizontal="center" vertical="center" shrinkToFit="1"/>
    </xf>
    <xf numFmtId="179" fontId="4" fillId="0" borderId="0" xfId="0" applyNumberFormat="1" applyFont="1" applyAlignment="1">
      <alignment horizontal="center" vertical="center" shrinkToFit="1"/>
    </xf>
    <xf numFmtId="9" fontId="0" fillId="0" borderId="0" xfId="0" applyNumberFormat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176" fontId="4" fillId="2" borderId="1" xfId="0" applyNumberFormat="1" applyFont="1" applyFill="1" applyBorder="1" applyAlignment="1">
      <alignment horizontal="center" vertical="center" shrinkToFit="1"/>
    </xf>
    <xf numFmtId="176" fontId="4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4" fillId="3" borderId="4" xfId="0" applyFont="1" applyFill="1" applyBorder="1" applyAlignment="1">
      <alignment horizontal="center" vertical="center" shrinkToFit="1"/>
    </xf>
    <xf numFmtId="0" fontId="4" fillId="3" borderId="3" xfId="0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 shrinkToFit="1"/>
    </xf>
    <xf numFmtId="0" fontId="4" fillId="4" borderId="4" xfId="0" applyFont="1" applyFill="1" applyBorder="1" applyAlignment="1">
      <alignment horizontal="center" vertical="center" shrinkToFit="1"/>
    </xf>
    <xf numFmtId="0" fontId="4" fillId="4" borderId="3" xfId="0" applyFont="1" applyFill="1" applyBorder="1" applyAlignment="1">
      <alignment horizontal="center" vertical="center" shrinkToFit="1"/>
    </xf>
    <xf numFmtId="0" fontId="4" fillId="4" borderId="2" xfId="0" applyFont="1" applyFill="1" applyBorder="1" applyAlignment="1">
      <alignment horizontal="center" vertical="center" shrinkToFi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algn="l">
              <a:defRPr/>
            </a:pPr>
            <a:r>
              <a:rPr lang="en-US" altLang="ko-KR" sz="3600"/>
              <a:t>2026 </a:t>
            </a:r>
            <a:r>
              <a:rPr lang="ko-KR" altLang="en-US" sz="3600"/>
              <a:t>성균관대 교과</a:t>
            </a:r>
          </a:p>
        </c:rich>
      </c:tx>
      <c:layout>
        <c:manualLayout>
          <c:xMode val="edge"/>
          <c:yMode val="edge"/>
          <c:x val="0.38193956211667707"/>
          <c:y val="2.404371564008678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5787643109028556E-2"/>
          <c:y val="8.6923904983946962E-2"/>
          <c:w val="0.83573402251098983"/>
          <c:h val="0.86721460063769684"/>
        </c:manualLayout>
      </c:layout>
      <c:barChart>
        <c:barDir val="bar"/>
        <c:grouping val="stacked"/>
        <c:varyColors val="0"/>
        <c:ser>
          <c:idx val="0"/>
          <c:order val="0"/>
          <c:tx>
            <c:v>50%컷</c:v>
          </c:tx>
          <c:spPr>
            <a:solidFill>
              <a:srgbClr val="0070C0"/>
            </a:solidFill>
            <a:ln>
              <a:noFill/>
              <a:prstDash val="solid"/>
            </a:ln>
          </c:spPr>
          <c:invertIfNegative val="0"/>
          <c:cat>
            <c:strRef>
              <c:f>'2026'!$G$3:$G$39</c:f>
              <c:strCache>
                <c:ptCount val="37"/>
                <c:pt idx="0">
                  <c:v>전자전기공학부</c:v>
                </c:pt>
                <c:pt idx="1">
                  <c:v>생명과학과</c:v>
                </c:pt>
                <c:pt idx="2">
                  <c:v>자연과학계열</c:v>
                </c:pt>
                <c:pt idx="3">
                  <c:v>공학계열</c:v>
                </c:pt>
                <c:pt idx="4">
                  <c:v>글로벌바이오메디컬공학과</c:v>
                </c:pt>
                <c:pt idx="5">
                  <c:v>화학과</c:v>
                </c:pt>
                <c:pt idx="6">
                  <c:v>바이오의약·규제과학과</c:v>
                </c:pt>
                <c:pt idx="7">
                  <c:v>반도체융합공학과</c:v>
                </c:pt>
                <c:pt idx="8">
                  <c:v>자유전공계열</c:v>
                </c:pt>
                <c:pt idx="9">
                  <c:v>통계학과</c:v>
                </c:pt>
                <c:pt idx="10">
                  <c:v>사회과학계열</c:v>
                </c:pt>
                <c:pt idx="11">
                  <c:v>에너지학과</c:v>
                </c:pt>
                <c:pt idx="12">
                  <c:v>컴퓨터교육과</c:v>
                </c:pt>
                <c:pt idx="13">
                  <c:v>글로벌리더학부</c:v>
                </c:pt>
                <c:pt idx="14">
                  <c:v>글로벌경제학과</c:v>
                </c:pt>
                <c:pt idx="15">
                  <c:v>물리학과</c:v>
                </c:pt>
                <c:pt idx="16">
                  <c:v>글로벌경영학과</c:v>
                </c:pt>
                <c:pt idx="17">
                  <c:v>심리학과</c:v>
                </c:pt>
                <c:pt idx="18">
                  <c:v>인문과학계열</c:v>
                </c:pt>
                <c:pt idx="19">
                  <c:v>건설환경공학부</c:v>
                </c:pt>
                <c:pt idx="20">
                  <c:v>한문교육과</c:v>
                </c:pt>
                <c:pt idx="21">
                  <c:v>교육학과</c:v>
                </c:pt>
                <c:pt idx="22">
                  <c:v>철학과</c:v>
                </c:pt>
                <c:pt idx="23">
                  <c:v>사회복지학과</c:v>
                </c:pt>
                <c:pt idx="24">
                  <c:v>아동청소년학과</c:v>
                </c:pt>
                <c:pt idx="25">
                  <c:v>영상학과</c:v>
                </c:pt>
                <c:pt idx="26">
                  <c:v>유학·동양학과</c:v>
                </c:pt>
                <c:pt idx="27">
                  <c:v>건축학과(5년제)</c:v>
                </c:pt>
                <c:pt idx="28">
                  <c:v>의상학과</c:v>
                </c:pt>
                <c:pt idx="29">
                  <c:v>수학과</c:v>
                </c:pt>
                <c:pt idx="30">
                  <c:v>한문학과</c:v>
                </c:pt>
                <c:pt idx="31">
                  <c:v>국어국문학과</c:v>
                </c:pt>
                <c:pt idx="32">
                  <c:v>수학교육과</c:v>
                </c:pt>
                <c:pt idx="33">
                  <c:v>사학과</c:v>
                </c:pt>
                <c:pt idx="34">
                  <c:v>경영학과</c:v>
                </c:pt>
                <c:pt idx="35">
                  <c:v>사회학과</c:v>
                </c:pt>
                <c:pt idx="36">
                  <c:v>소프트웨어학과</c:v>
                </c:pt>
              </c:strCache>
            </c:strRef>
          </c:cat>
          <c:val>
            <c:numRef>
              <c:f>'2026'!$H$3:$H$39</c:f>
              <c:numCache>
                <c:formatCode>General</c:formatCode>
                <c:ptCount val="37"/>
                <c:pt idx="0">
                  <c:v>1.38</c:v>
                </c:pt>
                <c:pt idx="1">
                  <c:v>1.41</c:v>
                </c:pt>
                <c:pt idx="2">
                  <c:v>1.38</c:v>
                </c:pt>
                <c:pt idx="3">
                  <c:v>1.47</c:v>
                </c:pt>
                <c:pt idx="4">
                  <c:v>1.47</c:v>
                </c:pt>
                <c:pt idx="5">
                  <c:v>1.45</c:v>
                </c:pt>
                <c:pt idx="6">
                  <c:v>1.48</c:v>
                </c:pt>
                <c:pt idx="7">
                  <c:v>1.49</c:v>
                </c:pt>
                <c:pt idx="8">
                  <c:v>1.5</c:v>
                </c:pt>
                <c:pt idx="9">
                  <c:v>1.56</c:v>
                </c:pt>
                <c:pt idx="10">
                  <c:v>1.54</c:v>
                </c:pt>
                <c:pt idx="11">
                  <c:v>1.58</c:v>
                </c:pt>
                <c:pt idx="12">
                  <c:v>1.61</c:v>
                </c:pt>
                <c:pt idx="13">
                  <c:v>1.6</c:v>
                </c:pt>
                <c:pt idx="14">
                  <c:v>1.6</c:v>
                </c:pt>
                <c:pt idx="15">
                  <c:v>1.65</c:v>
                </c:pt>
                <c:pt idx="16">
                  <c:v>1.54</c:v>
                </c:pt>
                <c:pt idx="17">
                  <c:v>1.59</c:v>
                </c:pt>
                <c:pt idx="18">
                  <c:v>1.62</c:v>
                </c:pt>
                <c:pt idx="19">
                  <c:v>1.63</c:v>
                </c:pt>
                <c:pt idx="20">
                  <c:v>1.71</c:v>
                </c:pt>
                <c:pt idx="21">
                  <c:v>1.73</c:v>
                </c:pt>
                <c:pt idx="22">
                  <c:v>1.74</c:v>
                </c:pt>
                <c:pt idx="23">
                  <c:v>1.7</c:v>
                </c:pt>
                <c:pt idx="24">
                  <c:v>1.73</c:v>
                </c:pt>
                <c:pt idx="25">
                  <c:v>1.71</c:v>
                </c:pt>
                <c:pt idx="26">
                  <c:v>1.73</c:v>
                </c:pt>
                <c:pt idx="27">
                  <c:v>1.71</c:v>
                </c:pt>
                <c:pt idx="28">
                  <c:v>1.74</c:v>
                </c:pt>
                <c:pt idx="29">
                  <c:v>1.62</c:v>
                </c:pt>
                <c:pt idx="30">
                  <c:v>1.77</c:v>
                </c:pt>
                <c:pt idx="31">
                  <c:v>1.69</c:v>
                </c:pt>
                <c:pt idx="32">
                  <c:v>1.67</c:v>
                </c:pt>
                <c:pt idx="33">
                  <c:v>1.85</c:v>
                </c:pt>
                <c:pt idx="34">
                  <c:v>1.54</c:v>
                </c:pt>
                <c:pt idx="35">
                  <c:v>1.67</c:v>
                </c:pt>
                <c:pt idx="36">
                  <c:v>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8-4BB0-BEAC-4D086EDE5C7F}"/>
            </c:ext>
          </c:extLst>
        </c:ser>
        <c:ser>
          <c:idx val="1"/>
          <c:order val="1"/>
          <c:tx>
            <c:v>70%컷</c:v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'2026'!$G$3:$G$39</c:f>
              <c:strCache>
                <c:ptCount val="37"/>
                <c:pt idx="0">
                  <c:v>전자전기공학부</c:v>
                </c:pt>
                <c:pt idx="1">
                  <c:v>생명과학과</c:v>
                </c:pt>
                <c:pt idx="2">
                  <c:v>자연과학계열</c:v>
                </c:pt>
                <c:pt idx="3">
                  <c:v>공학계열</c:v>
                </c:pt>
                <c:pt idx="4">
                  <c:v>글로벌바이오메디컬공학과</c:v>
                </c:pt>
                <c:pt idx="5">
                  <c:v>화학과</c:v>
                </c:pt>
                <c:pt idx="6">
                  <c:v>바이오의약·규제과학과</c:v>
                </c:pt>
                <c:pt idx="7">
                  <c:v>반도체융합공학과</c:v>
                </c:pt>
                <c:pt idx="8">
                  <c:v>자유전공계열</c:v>
                </c:pt>
                <c:pt idx="9">
                  <c:v>통계학과</c:v>
                </c:pt>
                <c:pt idx="10">
                  <c:v>사회과학계열</c:v>
                </c:pt>
                <c:pt idx="11">
                  <c:v>에너지학과</c:v>
                </c:pt>
                <c:pt idx="12">
                  <c:v>컴퓨터교육과</c:v>
                </c:pt>
                <c:pt idx="13">
                  <c:v>글로벌리더학부</c:v>
                </c:pt>
                <c:pt idx="14">
                  <c:v>글로벌경제학과</c:v>
                </c:pt>
                <c:pt idx="15">
                  <c:v>물리학과</c:v>
                </c:pt>
                <c:pt idx="16">
                  <c:v>글로벌경영학과</c:v>
                </c:pt>
                <c:pt idx="17">
                  <c:v>심리학과</c:v>
                </c:pt>
                <c:pt idx="18">
                  <c:v>인문과학계열</c:v>
                </c:pt>
                <c:pt idx="19">
                  <c:v>건설환경공학부</c:v>
                </c:pt>
                <c:pt idx="20">
                  <c:v>한문교육과</c:v>
                </c:pt>
                <c:pt idx="21">
                  <c:v>교육학과</c:v>
                </c:pt>
                <c:pt idx="22">
                  <c:v>철학과</c:v>
                </c:pt>
                <c:pt idx="23">
                  <c:v>사회복지학과</c:v>
                </c:pt>
                <c:pt idx="24">
                  <c:v>아동청소년학과</c:v>
                </c:pt>
                <c:pt idx="25">
                  <c:v>영상학과</c:v>
                </c:pt>
                <c:pt idx="26">
                  <c:v>유학·동양학과</c:v>
                </c:pt>
                <c:pt idx="27">
                  <c:v>건축학과(5년제)</c:v>
                </c:pt>
                <c:pt idx="28">
                  <c:v>의상학과</c:v>
                </c:pt>
                <c:pt idx="29">
                  <c:v>수학과</c:v>
                </c:pt>
                <c:pt idx="30">
                  <c:v>한문학과</c:v>
                </c:pt>
                <c:pt idx="31">
                  <c:v>국어국문학과</c:v>
                </c:pt>
                <c:pt idx="32">
                  <c:v>수학교육과</c:v>
                </c:pt>
                <c:pt idx="33">
                  <c:v>사학과</c:v>
                </c:pt>
                <c:pt idx="34">
                  <c:v>경영학과</c:v>
                </c:pt>
                <c:pt idx="35">
                  <c:v>사회학과</c:v>
                </c:pt>
                <c:pt idx="36">
                  <c:v>소프트웨어학과</c:v>
                </c:pt>
              </c:strCache>
            </c:strRef>
          </c:cat>
          <c:val>
            <c:numRef>
              <c:f>'2026'!$I$3:$I$39</c:f>
              <c:numCache>
                <c:formatCode>General</c:formatCode>
                <c:ptCount val="37"/>
                <c:pt idx="0">
                  <c:v>1.0000000000000009E-2</c:v>
                </c:pt>
                <c:pt idx="1">
                  <c:v>3.0000000000000027E-2</c:v>
                </c:pt>
                <c:pt idx="2">
                  <c:v>6.0000000000000053E-2</c:v>
                </c:pt>
                <c:pt idx="3">
                  <c:v>1.0000000000000009E-2</c:v>
                </c:pt>
                <c:pt idx="4">
                  <c:v>3.0000000000000027E-2</c:v>
                </c:pt>
                <c:pt idx="5">
                  <c:v>4.0000000000000036E-2</c:v>
                </c:pt>
                <c:pt idx="6">
                  <c:v>3.0000000000000027E-2</c:v>
                </c:pt>
                <c:pt idx="7">
                  <c:v>3.0000000000000027E-2</c:v>
                </c:pt>
                <c:pt idx="8">
                  <c:v>1.0000000000000009E-2</c:v>
                </c:pt>
                <c:pt idx="9">
                  <c:v>2.0000000000000018E-2</c:v>
                </c:pt>
                <c:pt idx="10">
                  <c:v>4.0000000000000036E-2</c:v>
                </c:pt>
                <c:pt idx="11">
                  <c:v>0</c:v>
                </c:pt>
                <c:pt idx="12">
                  <c:v>1.9999999999999796E-2</c:v>
                </c:pt>
                <c:pt idx="13">
                  <c:v>2.0000000000000018E-2</c:v>
                </c:pt>
                <c:pt idx="14">
                  <c:v>2.0000000000000018E-2</c:v>
                </c:pt>
                <c:pt idx="15">
                  <c:v>1.0000000000000009E-2</c:v>
                </c:pt>
                <c:pt idx="16">
                  <c:v>7.0000000000000062E-2</c:v>
                </c:pt>
                <c:pt idx="17">
                  <c:v>3.0000000000000027E-2</c:v>
                </c:pt>
                <c:pt idx="18">
                  <c:v>4.9999999999999822E-2</c:v>
                </c:pt>
                <c:pt idx="19">
                  <c:v>6.0000000000000053E-2</c:v>
                </c:pt>
                <c:pt idx="20">
                  <c:v>1.0000000000000009E-2</c:v>
                </c:pt>
                <c:pt idx="21">
                  <c:v>3.0000000000000027E-2</c:v>
                </c:pt>
                <c:pt idx="22">
                  <c:v>1.0000000000000009E-2</c:v>
                </c:pt>
                <c:pt idx="23">
                  <c:v>4.0000000000000036E-2</c:v>
                </c:pt>
                <c:pt idx="24">
                  <c:v>2.0000000000000018E-2</c:v>
                </c:pt>
                <c:pt idx="25">
                  <c:v>1.0000000000000009E-2</c:v>
                </c:pt>
                <c:pt idx="26">
                  <c:v>3.0000000000000027E-2</c:v>
                </c:pt>
                <c:pt idx="27">
                  <c:v>3.0000000000000027E-2</c:v>
                </c:pt>
                <c:pt idx="28">
                  <c:v>1.0000000000000009E-2</c:v>
                </c:pt>
                <c:pt idx="29">
                  <c:v>9.9999999999999867E-2</c:v>
                </c:pt>
                <c:pt idx="30">
                  <c:v>1.0000000000000009E-2</c:v>
                </c:pt>
                <c:pt idx="31">
                  <c:v>8.0000000000000071E-2</c:v>
                </c:pt>
                <c:pt idx="32">
                  <c:v>5.0000000000000044E-2</c:v>
                </c:pt>
                <c:pt idx="33">
                  <c:v>4.9999999999999822E-2</c:v>
                </c:pt>
                <c:pt idx="34">
                  <c:v>0.19999999999999996</c:v>
                </c:pt>
                <c:pt idx="35">
                  <c:v>6.0000000000000053E-2</c:v>
                </c:pt>
                <c:pt idx="36">
                  <c:v>5.0000000000000044E-2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28-4BB0-BEAC-4D086EDE5C7F}"/>
            </c:ext>
          </c:extLst>
        </c:ser>
        <c:ser>
          <c:idx val="2"/>
          <c:order val="2"/>
          <c:tx>
            <c:v>100%컷</c:v>
          </c:tx>
          <c:spPr>
            <a:solidFill>
              <a:srgbClr val="FF0000"/>
            </a:solidFill>
            <a:ln>
              <a:noFill/>
              <a:prstDash val="solid"/>
            </a:ln>
          </c:spPr>
          <c:invertIfNegative val="0"/>
          <c:cat>
            <c:strRef>
              <c:f>'2026'!$G$3:$G$39</c:f>
              <c:strCache>
                <c:ptCount val="37"/>
                <c:pt idx="0">
                  <c:v>전자전기공학부</c:v>
                </c:pt>
                <c:pt idx="1">
                  <c:v>생명과학과</c:v>
                </c:pt>
                <c:pt idx="2">
                  <c:v>자연과학계열</c:v>
                </c:pt>
                <c:pt idx="3">
                  <c:v>공학계열</c:v>
                </c:pt>
                <c:pt idx="4">
                  <c:v>글로벌바이오메디컬공학과</c:v>
                </c:pt>
                <c:pt idx="5">
                  <c:v>화학과</c:v>
                </c:pt>
                <c:pt idx="6">
                  <c:v>바이오의약·규제과학과</c:v>
                </c:pt>
                <c:pt idx="7">
                  <c:v>반도체융합공학과</c:v>
                </c:pt>
                <c:pt idx="8">
                  <c:v>자유전공계열</c:v>
                </c:pt>
                <c:pt idx="9">
                  <c:v>통계학과</c:v>
                </c:pt>
                <c:pt idx="10">
                  <c:v>사회과학계열</c:v>
                </c:pt>
                <c:pt idx="11">
                  <c:v>에너지학과</c:v>
                </c:pt>
                <c:pt idx="12">
                  <c:v>컴퓨터교육과</c:v>
                </c:pt>
                <c:pt idx="13">
                  <c:v>글로벌리더학부</c:v>
                </c:pt>
                <c:pt idx="14">
                  <c:v>글로벌경제학과</c:v>
                </c:pt>
                <c:pt idx="15">
                  <c:v>물리학과</c:v>
                </c:pt>
                <c:pt idx="16">
                  <c:v>글로벌경영학과</c:v>
                </c:pt>
                <c:pt idx="17">
                  <c:v>심리학과</c:v>
                </c:pt>
                <c:pt idx="18">
                  <c:v>인문과학계열</c:v>
                </c:pt>
                <c:pt idx="19">
                  <c:v>건설환경공학부</c:v>
                </c:pt>
                <c:pt idx="20">
                  <c:v>한문교육과</c:v>
                </c:pt>
                <c:pt idx="21">
                  <c:v>교육학과</c:v>
                </c:pt>
                <c:pt idx="22">
                  <c:v>철학과</c:v>
                </c:pt>
                <c:pt idx="23">
                  <c:v>사회복지학과</c:v>
                </c:pt>
                <c:pt idx="24">
                  <c:v>아동청소년학과</c:v>
                </c:pt>
                <c:pt idx="25">
                  <c:v>영상학과</c:v>
                </c:pt>
                <c:pt idx="26">
                  <c:v>유학·동양학과</c:v>
                </c:pt>
                <c:pt idx="27">
                  <c:v>건축학과(5년제)</c:v>
                </c:pt>
                <c:pt idx="28">
                  <c:v>의상학과</c:v>
                </c:pt>
                <c:pt idx="29">
                  <c:v>수학과</c:v>
                </c:pt>
                <c:pt idx="30">
                  <c:v>한문학과</c:v>
                </c:pt>
                <c:pt idx="31">
                  <c:v>국어국문학과</c:v>
                </c:pt>
                <c:pt idx="32">
                  <c:v>수학교육과</c:v>
                </c:pt>
                <c:pt idx="33">
                  <c:v>사학과</c:v>
                </c:pt>
                <c:pt idx="34">
                  <c:v>경영학과</c:v>
                </c:pt>
                <c:pt idx="35">
                  <c:v>사회학과</c:v>
                </c:pt>
                <c:pt idx="36">
                  <c:v>소프트웨어학과</c:v>
                </c:pt>
              </c:strCache>
            </c:strRef>
          </c:cat>
          <c:val>
            <c:numRef>
              <c:f>'2026'!$J$3:$J$39</c:f>
              <c:numCache>
                <c:formatCode>General</c:formatCode>
                <c:ptCount val="37"/>
                <c:pt idx="0">
                  <c:v>2.0000000000000018E-2</c:v>
                </c:pt>
                <c:pt idx="1">
                  <c:v>6.0000000000000053E-2</c:v>
                </c:pt>
                <c:pt idx="2">
                  <c:v>6.0000000000000053E-2</c:v>
                </c:pt>
                <c:pt idx="3">
                  <c:v>5.0000000000000044E-2</c:v>
                </c:pt>
                <c:pt idx="4">
                  <c:v>3.0000000000000027E-2</c:v>
                </c:pt>
                <c:pt idx="5">
                  <c:v>6.0000000000000053E-2</c:v>
                </c:pt>
                <c:pt idx="6">
                  <c:v>5.0000000000000044E-2</c:v>
                </c:pt>
                <c:pt idx="7">
                  <c:v>4.0000000000000036E-2</c:v>
                </c:pt>
                <c:pt idx="8">
                  <c:v>6.0000000000000053E-2</c:v>
                </c:pt>
                <c:pt idx="9">
                  <c:v>1.0000000000000009E-2</c:v>
                </c:pt>
                <c:pt idx="10">
                  <c:v>6.999999999999984E-2</c:v>
                </c:pt>
                <c:pt idx="11">
                  <c:v>6.999999999999984E-2</c:v>
                </c:pt>
                <c:pt idx="12">
                  <c:v>5.0000000000000044E-2</c:v>
                </c:pt>
                <c:pt idx="13">
                  <c:v>8.9999999999999858E-2</c:v>
                </c:pt>
                <c:pt idx="14">
                  <c:v>9.9999999999999867E-2</c:v>
                </c:pt>
                <c:pt idx="15">
                  <c:v>6.0000000000000053E-2</c:v>
                </c:pt>
                <c:pt idx="16">
                  <c:v>0.11999999999999988</c:v>
                </c:pt>
                <c:pt idx="17">
                  <c:v>0.10999999999999988</c:v>
                </c:pt>
                <c:pt idx="18">
                  <c:v>7.0000000000000062E-2</c:v>
                </c:pt>
                <c:pt idx="19">
                  <c:v>6.0000000000000053E-2</c:v>
                </c:pt>
                <c:pt idx="20">
                  <c:v>3.0000000000000027E-2</c:v>
                </c:pt>
                <c:pt idx="21">
                  <c:v>2.0000000000000018E-2</c:v>
                </c:pt>
                <c:pt idx="22">
                  <c:v>3.0000000000000027E-2</c:v>
                </c:pt>
                <c:pt idx="23">
                  <c:v>5.0000000000000044E-2</c:v>
                </c:pt>
                <c:pt idx="24">
                  <c:v>5.0000000000000044E-2</c:v>
                </c:pt>
                <c:pt idx="25">
                  <c:v>8.0000000000000071E-2</c:v>
                </c:pt>
                <c:pt idx="26">
                  <c:v>4.0000000000000036E-2</c:v>
                </c:pt>
                <c:pt idx="27">
                  <c:v>7.0000000000000062E-2</c:v>
                </c:pt>
                <c:pt idx="28">
                  <c:v>8.0000000000000071E-2</c:v>
                </c:pt>
                <c:pt idx="29">
                  <c:v>0.12000000000000011</c:v>
                </c:pt>
                <c:pt idx="30">
                  <c:v>6.0000000000000053E-2</c:v>
                </c:pt>
                <c:pt idx="31">
                  <c:v>9.000000000000008E-2</c:v>
                </c:pt>
                <c:pt idx="32">
                  <c:v>0.14000000000000012</c:v>
                </c:pt>
                <c:pt idx="33">
                  <c:v>0.10000000000000009</c:v>
                </c:pt>
                <c:pt idx="34">
                  <c:v>0.2699999999999998</c:v>
                </c:pt>
                <c:pt idx="35">
                  <c:v>0.33000000000000007</c:v>
                </c:pt>
                <c:pt idx="36">
                  <c:v>0.58999999999999986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28-4BB0-BEAC-4D086EDE5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6565007"/>
        <c:axId val="1466565967"/>
      </c:barChart>
      <c:catAx>
        <c:axId val="1466565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66565967"/>
        <c:crosses val="autoZero"/>
        <c:auto val="1"/>
        <c:lblAlgn val="ctr"/>
        <c:lblOffset val="100"/>
        <c:noMultiLvlLbl val="0"/>
      </c:catAx>
      <c:valAx>
        <c:axId val="1466565967"/>
        <c:scaling>
          <c:orientation val="minMax"/>
          <c:max val="2.2000000000000002"/>
          <c:min val="1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66565007"/>
        <c:crosses val="autoZero"/>
        <c:crossBetween val="between"/>
        <c:majorUnit val="0.1"/>
      </c:valAx>
    </c:plotArea>
    <c:legend>
      <c:legendPos val="r"/>
      <c:layout>
        <c:manualLayout>
          <c:xMode val="edge"/>
          <c:yMode val="edge"/>
          <c:x val="0.67571940163921229"/>
          <c:y val="0.81634525410469938"/>
          <c:w val="0.24267175498768176"/>
          <c:h val="0.14073695631076377"/>
        </c:manualLayout>
      </c:layout>
      <c:overlay val="0"/>
      <c:txPr>
        <a:bodyPr/>
        <a:lstStyle/>
        <a:p>
          <a:pPr>
            <a:defRPr sz="2800"/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altLang="ko-KR" sz="3600"/>
              <a:t>2025 </a:t>
            </a:r>
            <a:r>
              <a:rPr lang="ko-KR" altLang="en-US" sz="3600"/>
              <a:t>성균관대 교과</a:t>
            </a:r>
          </a:p>
        </c:rich>
      </c:tx>
      <c:layout>
        <c:manualLayout>
          <c:xMode val="edge"/>
          <c:yMode val="edge"/>
          <c:x val="0.38193956211667707"/>
          <c:y val="2.4043715640086781E-3"/>
        </c:manualLayout>
      </c:layout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50%컷</c:v>
          </c:tx>
          <c:spPr>
            <a:solidFill>
              <a:srgbClr val="0070C0"/>
            </a:solidFill>
            <a:ln>
              <a:noFill/>
              <a:prstDash val="solid"/>
            </a:ln>
          </c:spPr>
          <c:invertIfNegative val="0"/>
          <c:cat>
            <c:strRef>
              <c:f>'2025'!$G$3:$G$37</c:f>
              <c:strCache>
                <c:ptCount val="35"/>
                <c:pt idx="0">
                  <c:v>자연과학계열</c:v>
                </c:pt>
                <c:pt idx="1">
                  <c:v>전자전기공학부</c:v>
                </c:pt>
                <c:pt idx="2">
                  <c:v>글로벌경영학과</c:v>
                </c:pt>
                <c:pt idx="3">
                  <c:v>소프트웨어학과</c:v>
                </c:pt>
                <c:pt idx="4">
                  <c:v>공학계열</c:v>
                </c:pt>
                <c:pt idx="5">
                  <c:v>화학과</c:v>
                </c:pt>
                <c:pt idx="6">
                  <c:v>생명과학과</c:v>
                </c:pt>
                <c:pt idx="7">
                  <c:v>경영학과</c:v>
                </c:pt>
                <c:pt idx="8">
                  <c:v>수학과</c:v>
                </c:pt>
                <c:pt idx="9">
                  <c:v>컴퓨터교육과</c:v>
                </c:pt>
                <c:pt idx="10">
                  <c:v>글로벌바이오메디컬공학과</c:v>
                </c:pt>
                <c:pt idx="11">
                  <c:v>에너지학과</c:v>
                </c:pt>
                <c:pt idx="12">
                  <c:v>반도체융합공학과</c:v>
                </c:pt>
                <c:pt idx="13">
                  <c:v>통계학과</c:v>
                </c:pt>
                <c:pt idx="14">
                  <c:v>물리학과</c:v>
                </c:pt>
                <c:pt idx="15">
                  <c:v>글로벌경제학과</c:v>
                </c:pt>
                <c:pt idx="16">
                  <c:v>자유전공계열</c:v>
                </c:pt>
                <c:pt idx="17">
                  <c:v>국어국문학과</c:v>
                </c:pt>
                <c:pt idx="18">
                  <c:v>사회학과</c:v>
                </c:pt>
                <c:pt idx="19">
                  <c:v>건축학과(5년제)</c:v>
                </c:pt>
                <c:pt idx="20">
                  <c:v>사학과</c:v>
                </c:pt>
                <c:pt idx="21">
                  <c:v>의상학과</c:v>
                </c:pt>
                <c:pt idx="22">
                  <c:v>한문교육과</c:v>
                </c:pt>
                <c:pt idx="23">
                  <c:v>사회복지학과</c:v>
                </c:pt>
                <c:pt idx="24">
                  <c:v>심리학과</c:v>
                </c:pt>
                <c:pt idx="25">
                  <c:v>인문과학계열</c:v>
                </c:pt>
                <c:pt idx="26">
                  <c:v>아동청소년학과</c:v>
                </c:pt>
                <c:pt idx="27">
                  <c:v>유학·동양학과</c:v>
                </c:pt>
                <c:pt idx="28">
                  <c:v>사회과학계열</c:v>
                </c:pt>
                <c:pt idx="29">
                  <c:v>한문학과</c:v>
                </c:pt>
                <c:pt idx="30">
                  <c:v>철학과</c:v>
                </c:pt>
                <c:pt idx="31">
                  <c:v>영상학과</c:v>
                </c:pt>
                <c:pt idx="32">
                  <c:v>글로벌리더학부</c:v>
                </c:pt>
                <c:pt idx="33">
                  <c:v>교육학과</c:v>
                </c:pt>
                <c:pt idx="34">
                  <c:v>수학교육과</c:v>
                </c:pt>
              </c:strCache>
            </c:strRef>
          </c:cat>
          <c:val>
            <c:numRef>
              <c:f>'2025'!$H$3:$H$37</c:f>
              <c:numCache>
                <c:formatCode>0.00_);[Red]\(0.00\)</c:formatCode>
                <c:ptCount val="35"/>
                <c:pt idx="0">
                  <c:v>1.47</c:v>
                </c:pt>
                <c:pt idx="1">
                  <c:v>1.52</c:v>
                </c:pt>
                <c:pt idx="2">
                  <c:v>1.51</c:v>
                </c:pt>
                <c:pt idx="3">
                  <c:v>1.51</c:v>
                </c:pt>
                <c:pt idx="4">
                  <c:v>1.43</c:v>
                </c:pt>
                <c:pt idx="5">
                  <c:v>1.5</c:v>
                </c:pt>
                <c:pt idx="6">
                  <c:v>1.45</c:v>
                </c:pt>
                <c:pt idx="7">
                  <c:v>1.41</c:v>
                </c:pt>
                <c:pt idx="8">
                  <c:v>1.58</c:v>
                </c:pt>
                <c:pt idx="9">
                  <c:v>1.61</c:v>
                </c:pt>
                <c:pt idx="10">
                  <c:v>1.48</c:v>
                </c:pt>
                <c:pt idx="11">
                  <c:v>1.66</c:v>
                </c:pt>
                <c:pt idx="12">
                  <c:v>1.65</c:v>
                </c:pt>
                <c:pt idx="13">
                  <c:v>1.58</c:v>
                </c:pt>
                <c:pt idx="14">
                  <c:v>1.71</c:v>
                </c:pt>
                <c:pt idx="15">
                  <c:v>1.67</c:v>
                </c:pt>
                <c:pt idx="16">
                  <c:v>1.65</c:v>
                </c:pt>
                <c:pt idx="17">
                  <c:v>1.67</c:v>
                </c:pt>
                <c:pt idx="18">
                  <c:v>1.58</c:v>
                </c:pt>
                <c:pt idx="19">
                  <c:v>1.78</c:v>
                </c:pt>
                <c:pt idx="20">
                  <c:v>1.66</c:v>
                </c:pt>
                <c:pt idx="21">
                  <c:v>1.78</c:v>
                </c:pt>
                <c:pt idx="22">
                  <c:v>1.82</c:v>
                </c:pt>
                <c:pt idx="23">
                  <c:v>1.76</c:v>
                </c:pt>
                <c:pt idx="24">
                  <c:v>1.73</c:v>
                </c:pt>
                <c:pt idx="25">
                  <c:v>1.62</c:v>
                </c:pt>
                <c:pt idx="26">
                  <c:v>1.75</c:v>
                </c:pt>
                <c:pt idx="27">
                  <c:v>1.77</c:v>
                </c:pt>
                <c:pt idx="28">
                  <c:v>1.52</c:v>
                </c:pt>
                <c:pt idx="29">
                  <c:v>1.87</c:v>
                </c:pt>
                <c:pt idx="30">
                  <c:v>1.8</c:v>
                </c:pt>
                <c:pt idx="31">
                  <c:v>1.66</c:v>
                </c:pt>
                <c:pt idx="32">
                  <c:v>1.61</c:v>
                </c:pt>
                <c:pt idx="33">
                  <c:v>1.82</c:v>
                </c:pt>
                <c:pt idx="34">
                  <c:v>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9-4907-A7E9-0833C2B6BBC1}"/>
            </c:ext>
          </c:extLst>
        </c:ser>
        <c:ser>
          <c:idx val="1"/>
          <c:order val="1"/>
          <c:tx>
            <c:v>70%컷</c:v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'2025'!$G$3:$G$37</c:f>
              <c:strCache>
                <c:ptCount val="35"/>
                <c:pt idx="0">
                  <c:v>자연과학계열</c:v>
                </c:pt>
                <c:pt idx="1">
                  <c:v>전자전기공학부</c:v>
                </c:pt>
                <c:pt idx="2">
                  <c:v>글로벌경영학과</c:v>
                </c:pt>
                <c:pt idx="3">
                  <c:v>소프트웨어학과</c:v>
                </c:pt>
                <c:pt idx="4">
                  <c:v>공학계열</c:v>
                </c:pt>
                <c:pt idx="5">
                  <c:v>화학과</c:v>
                </c:pt>
                <c:pt idx="6">
                  <c:v>생명과학과</c:v>
                </c:pt>
                <c:pt idx="7">
                  <c:v>경영학과</c:v>
                </c:pt>
                <c:pt idx="8">
                  <c:v>수학과</c:v>
                </c:pt>
                <c:pt idx="9">
                  <c:v>컴퓨터교육과</c:v>
                </c:pt>
                <c:pt idx="10">
                  <c:v>글로벌바이오메디컬공학과</c:v>
                </c:pt>
                <c:pt idx="11">
                  <c:v>에너지학과</c:v>
                </c:pt>
                <c:pt idx="12">
                  <c:v>반도체융합공학과</c:v>
                </c:pt>
                <c:pt idx="13">
                  <c:v>통계학과</c:v>
                </c:pt>
                <c:pt idx="14">
                  <c:v>물리학과</c:v>
                </c:pt>
                <c:pt idx="15">
                  <c:v>글로벌경제학과</c:v>
                </c:pt>
                <c:pt idx="16">
                  <c:v>자유전공계열</c:v>
                </c:pt>
                <c:pt idx="17">
                  <c:v>국어국문학과</c:v>
                </c:pt>
                <c:pt idx="18">
                  <c:v>사회학과</c:v>
                </c:pt>
                <c:pt idx="19">
                  <c:v>건축학과(5년제)</c:v>
                </c:pt>
                <c:pt idx="20">
                  <c:v>사학과</c:v>
                </c:pt>
                <c:pt idx="21">
                  <c:v>의상학과</c:v>
                </c:pt>
                <c:pt idx="22">
                  <c:v>한문교육과</c:v>
                </c:pt>
                <c:pt idx="23">
                  <c:v>사회복지학과</c:v>
                </c:pt>
                <c:pt idx="24">
                  <c:v>심리학과</c:v>
                </c:pt>
                <c:pt idx="25">
                  <c:v>인문과학계열</c:v>
                </c:pt>
                <c:pt idx="26">
                  <c:v>아동청소년학과</c:v>
                </c:pt>
                <c:pt idx="27">
                  <c:v>유학·동양학과</c:v>
                </c:pt>
                <c:pt idx="28">
                  <c:v>사회과학계열</c:v>
                </c:pt>
                <c:pt idx="29">
                  <c:v>한문학과</c:v>
                </c:pt>
                <c:pt idx="30">
                  <c:v>철학과</c:v>
                </c:pt>
                <c:pt idx="31">
                  <c:v>영상학과</c:v>
                </c:pt>
                <c:pt idx="32">
                  <c:v>글로벌리더학부</c:v>
                </c:pt>
                <c:pt idx="33">
                  <c:v>교육학과</c:v>
                </c:pt>
                <c:pt idx="34">
                  <c:v>수학교육과</c:v>
                </c:pt>
              </c:strCache>
            </c:strRef>
          </c:cat>
          <c:val>
            <c:numRef>
              <c:f>'2025'!$I$3:$I$37</c:f>
              <c:numCache>
                <c:formatCode>General</c:formatCode>
                <c:ptCount val="35"/>
                <c:pt idx="0">
                  <c:v>3.0000000000000027E-2</c:v>
                </c:pt>
                <c:pt idx="1">
                  <c:v>0</c:v>
                </c:pt>
                <c:pt idx="2">
                  <c:v>3.0000000000000027E-2</c:v>
                </c:pt>
                <c:pt idx="3">
                  <c:v>4.0000000000000036E-2</c:v>
                </c:pt>
                <c:pt idx="4">
                  <c:v>9.000000000000008E-2</c:v>
                </c:pt>
                <c:pt idx="5">
                  <c:v>6.0000000000000053E-2</c:v>
                </c:pt>
                <c:pt idx="6">
                  <c:v>9.000000000000008E-2</c:v>
                </c:pt>
                <c:pt idx="7">
                  <c:v>7.0000000000000062E-2</c:v>
                </c:pt>
                <c:pt idx="8">
                  <c:v>2.0000000000000018E-2</c:v>
                </c:pt>
                <c:pt idx="9">
                  <c:v>3.9999999999999813E-2</c:v>
                </c:pt>
                <c:pt idx="10">
                  <c:v>0.13000000000000012</c:v>
                </c:pt>
                <c:pt idx="11">
                  <c:v>0</c:v>
                </c:pt>
                <c:pt idx="12">
                  <c:v>6.0000000000000053E-2</c:v>
                </c:pt>
                <c:pt idx="13">
                  <c:v>6.999999999999984E-2</c:v>
                </c:pt>
                <c:pt idx="14">
                  <c:v>1.0000000000000009E-2</c:v>
                </c:pt>
                <c:pt idx="15">
                  <c:v>4.0000000000000036E-2</c:v>
                </c:pt>
                <c:pt idx="16">
                  <c:v>4.0000000000000036E-2</c:v>
                </c:pt>
                <c:pt idx="17">
                  <c:v>3.0000000000000027E-2</c:v>
                </c:pt>
                <c:pt idx="18">
                  <c:v>7.9999999999999849E-2</c:v>
                </c:pt>
                <c:pt idx="19">
                  <c:v>1.0000000000000009E-2</c:v>
                </c:pt>
                <c:pt idx="20">
                  <c:v>6.0000000000000053E-2</c:v>
                </c:pt>
                <c:pt idx="21">
                  <c:v>3.0000000000000027E-2</c:v>
                </c:pt>
                <c:pt idx="22">
                  <c:v>0</c:v>
                </c:pt>
                <c:pt idx="23">
                  <c:v>3.0000000000000027E-2</c:v>
                </c:pt>
                <c:pt idx="24">
                  <c:v>4.0000000000000036E-2</c:v>
                </c:pt>
                <c:pt idx="25">
                  <c:v>7.9999999999999849E-2</c:v>
                </c:pt>
                <c:pt idx="26">
                  <c:v>7.0000000000000062E-2</c:v>
                </c:pt>
                <c:pt idx="27">
                  <c:v>7.0000000000000062E-2</c:v>
                </c:pt>
                <c:pt idx="28">
                  <c:v>0.18999999999999995</c:v>
                </c:pt>
                <c:pt idx="29">
                  <c:v>0</c:v>
                </c:pt>
                <c:pt idx="30">
                  <c:v>1.0000000000000009E-2</c:v>
                </c:pt>
                <c:pt idx="31">
                  <c:v>0.20000000000000018</c:v>
                </c:pt>
                <c:pt idx="32">
                  <c:v>0.19999999999999996</c:v>
                </c:pt>
                <c:pt idx="33">
                  <c:v>0.14999999999999991</c:v>
                </c:pt>
                <c:pt idx="34">
                  <c:v>9.000000000000008E-2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19-4907-A7E9-0833C2B6BBC1}"/>
            </c:ext>
          </c:extLst>
        </c:ser>
        <c:ser>
          <c:idx val="2"/>
          <c:order val="2"/>
          <c:tx>
            <c:v>100%컷</c:v>
          </c:tx>
          <c:spPr>
            <a:solidFill>
              <a:srgbClr val="FF0000"/>
            </a:solidFill>
            <a:ln>
              <a:noFill/>
              <a:prstDash val="solid"/>
            </a:ln>
          </c:spPr>
          <c:invertIfNegative val="0"/>
          <c:cat>
            <c:strRef>
              <c:f>'2025'!$G$3:$G$37</c:f>
              <c:strCache>
                <c:ptCount val="35"/>
                <c:pt idx="0">
                  <c:v>자연과학계열</c:v>
                </c:pt>
                <c:pt idx="1">
                  <c:v>전자전기공학부</c:v>
                </c:pt>
                <c:pt idx="2">
                  <c:v>글로벌경영학과</c:v>
                </c:pt>
                <c:pt idx="3">
                  <c:v>소프트웨어학과</c:v>
                </c:pt>
                <c:pt idx="4">
                  <c:v>공학계열</c:v>
                </c:pt>
                <c:pt idx="5">
                  <c:v>화학과</c:v>
                </c:pt>
                <c:pt idx="6">
                  <c:v>생명과학과</c:v>
                </c:pt>
                <c:pt idx="7">
                  <c:v>경영학과</c:v>
                </c:pt>
                <c:pt idx="8">
                  <c:v>수학과</c:v>
                </c:pt>
                <c:pt idx="9">
                  <c:v>컴퓨터교육과</c:v>
                </c:pt>
                <c:pt idx="10">
                  <c:v>글로벌바이오메디컬공학과</c:v>
                </c:pt>
                <c:pt idx="11">
                  <c:v>에너지학과</c:v>
                </c:pt>
                <c:pt idx="12">
                  <c:v>반도체융합공학과</c:v>
                </c:pt>
                <c:pt idx="13">
                  <c:v>통계학과</c:v>
                </c:pt>
                <c:pt idx="14">
                  <c:v>물리학과</c:v>
                </c:pt>
                <c:pt idx="15">
                  <c:v>글로벌경제학과</c:v>
                </c:pt>
                <c:pt idx="16">
                  <c:v>자유전공계열</c:v>
                </c:pt>
                <c:pt idx="17">
                  <c:v>국어국문학과</c:v>
                </c:pt>
                <c:pt idx="18">
                  <c:v>사회학과</c:v>
                </c:pt>
                <c:pt idx="19">
                  <c:v>건축학과(5년제)</c:v>
                </c:pt>
                <c:pt idx="20">
                  <c:v>사학과</c:v>
                </c:pt>
                <c:pt idx="21">
                  <c:v>의상학과</c:v>
                </c:pt>
                <c:pt idx="22">
                  <c:v>한문교육과</c:v>
                </c:pt>
                <c:pt idx="23">
                  <c:v>사회복지학과</c:v>
                </c:pt>
                <c:pt idx="24">
                  <c:v>심리학과</c:v>
                </c:pt>
                <c:pt idx="25">
                  <c:v>인문과학계열</c:v>
                </c:pt>
                <c:pt idx="26">
                  <c:v>아동청소년학과</c:v>
                </c:pt>
                <c:pt idx="27">
                  <c:v>유학·동양학과</c:v>
                </c:pt>
                <c:pt idx="28">
                  <c:v>사회과학계열</c:v>
                </c:pt>
                <c:pt idx="29">
                  <c:v>한문학과</c:v>
                </c:pt>
                <c:pt idx="30">
                  <c:v>철학과</c:v>
                </c:pt>
                <c:pt idx="31">
                  <c:v>영상학과</c:v>
                </c:pt>
                <c:pt idx="32">
                  <c:v>글로벌리더학부</c:v>
                </c:pt>
                <c:pt idx="33">
                  <c:v>교육학과</c:v>
                </c:pt>
                <c:pt idx="34">
                  <c:v>수학교육과</c:v>
                </c:pt>
              </c:strCache>
            </c:strRef>
          </c:cat>
          <c:val>
            <c:numRef>
              <c:f>'2025'!$J$3:$J$37</c:f>
              <c:numCache>
                <c:formatCode>General</c:formatCode>
                <c:ptCount val="35"/>
                <c:pt idx="0">
                  <c:v>7.0000000000000062E-2</c:v>
                </c:pt>
                <c:pt idx="1">
                  <c:v>5.0000000000000044E-2</c:v>
                </c:pt>
                <c:pt idx="2">
                  <c:v>3.0000000000000027E-2</c:v>
                </c:pt>
                <c:pt idx="3">
                  <c:v>3.0000000000000027E-2</c:v>
                </c:pt>
                <c:pt idx="4">
                  <c:v>7.0000000000000062E-2</c:v>
                </c:pt>
                <c:pt idx="5">
                  <c:v>3.0000000000000027E-2</c:v>
                </c:pt>
                <c:pt idx="6">
                  <c:v>8.0000000000000071E-2</c:v>
                </c:pt>
                <c:pt idx="7">
                  <c:v>0.17999999999999994</c:v>
                </c:pt>
                <c:pt idx="8">
                  <c:v>6.999999999999984E-2</c:v>
                </c:pt>
                <c:pt idx="9">
                  <c:v>5.0000000000000044E-2</c:v>
                </c:pt>
                <c:pt idx="10">
                  <c:v>9.9999999999999867E-2</c:v>
                </c:pt>
                <c:pt idx="11">
                  <c:v>6.0000000000000053E-2</c:v>
                </c:pt>
                <c:pt idx="12">
                  <c:v>1.0000000000000009E-2</c:v>
                </c:pt>
                <c:pt idx="13">
                  <c:v>0.10000000000000009</c:v>
                </c:pt>
                <c:pt idx="14">
                  <c:v>3.0000000000000027E-2</c:v>
                </c:pt>
                <c:pt idx="15">
                  <c:v>8.0000000000000071E-2</c:v>
                </c:pt>
                <c:pt idx="16">
                  <c:v>0.1100000000000001</c:v>
                </c:pt>
                <c:pt idx="17">
                  <c:v>0.13000000000000012</c:v>
                </c:pt>
                <c:pt idx="18">
                  <c:v>0.18000000000000016</c:v>
                </c:pt>
                <c:pt idx="19">
                  <c:v>5.0000000000000044E-2</c:v>
                </c:pt>
                <c:pt idx="20">
                  <c:v>0.14000000000000012</c:v>
                </c:pt>
                <c:pt idx="21">
                  <c:v>5.0000000000000044E-2</c:v>
                </c:pt>
                <c:pt idx="22">
                  <c:v>8.9999999999999858E-2</c:v>
                </c:pt>
                <c:pt idx="23">
                  <c:v>0.12999999999999989</c:v>
                </c:pt>
                <c:pt idx="24">
                  <c:v>0.15999999999999992</c:v>
                </c:pt>
                <c:pt idx="25">
                  <c:v>0.24</c:v>
                </c:pt>
                <c:pt idx="26">
                  <c:v>0.11999999999999988</c:v>
                </c:pt>
                <c:pt idx="27">
                  <c:v>9.9999999999999867E-2</c:v>
                </c:pt>
                <c:pt idx="28">
                  <c:v>0.29000000000000004</c:v>
                </c:pt>
                <c:pt idx="29">
                  <c:v>0.13999999999999968</c:v>
                </c:pt>
                <c:pt idx="30">
                  <c:v>0.20999999999999996</c:v>
                </c:pt>
                <c:pt idx="31">
                  <c:v>0.16999999999999971</c:v>
                </c:pt>
                <c:pt idx="32">
                  <c:v>0.39000000000000012</c:v>
                </c:pt>
                <c:pt idx="33">
                  <c:v>0.40000000000000013</c:v>
                </c:pt>
                <c:pt idx="34">
                  <c:v>0.65999999999999992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19-4907-A7E9-0833C2B6B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6565007"/>
        <c:axId val="1466565967"/>
      </c:barChart>
      <c:catAx>
        <c:axId val="1466565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66565967"/>
        <c:crosses val="autoZero"/>
        <c:auto val="1"/>
        <c:lblAlgn val="ctr"/>
        <c:lblOffset val="100"/>
        <c:noMultiLvlLbl val="0"/>
      </c:catAx>
      <c:valAx>
        <c:axId val="1466565967"/>
        <c:scaling>
          <c:orientation val="minMax"/>
          <c:max val="2.4"/>
          <c:min val="1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66565007"/>
        <c:crosses val="autoZero"/>
        <c:crossBetween val="between"/>
        <c:majorUnit val="0.1"/>
      </c:valAx>
    </c:plotArea>
    <c:legend>
      <c:legendPos val="r"/>
      <c:layout>
        <c:manualLayout>
          <c:xMode val="edge"/>
          <c:yMode val="edge"/>
          <c:x val="0.67571940163921229"/>
          <c:y val="0.81634525410469938"/>
          <c:w val="0.24267175498768176"/>
          <c:h val="0.14073695631076377"/>
        </c:manualLayout>
      </c:layout>
      <c:overlay val="0"/>
      <c:txPr>
        <a:bodyPr/>
        <a:lstStyle/>
        <a:p>
          <a:pPr>
            <a:defRPr sz="2800"/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altLang="ko-KR" sz="3600"/>
              <a:t>2024 </a:t>
            </a:r>
            <a:r>
              <a:rPr lang="ko-KR" altLang="en-US" sz="3600"/>
              <a:t>성균관대 교과</a:t>
            </a:r>
          </a:p>
        </c:rich>
      </c:tx>
      <c:layout>
        <c:manualLayout>
          <c:xMode val="edge"/>
          <c:yMode val="edge"/>
          <c:x val="0.38193956211667707"/>
          <c:y val="2.4043715640086781E-3"/>
        </c:manualLayout>
      </c:layout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50%컷</c:v>
          </c:tx>
          <c:spPr>
            <a:solidFill>
              <a:srgbClr val="0070C0"/>
            </a:solidFill>
            <a:ln>
              <a:noFill/>
              <a:prstDash val="solid"/>
            </a:ln>
          </c:spPr>
          <c:invertIfNegative val="0"/>
          <c:cat>
            <c:strRef>
              <c:f>'2024'!$G$3:$G$36</c:f>
              <c:strCache>
                <c:ptCount val="34"/>
                <c:pt idx="0">
                  <c:v>자연과학계열</c:v>
                </c:pt>
                <c:pt idx="1">
                  <c:v>경영학과</c:v>
                </c:pt>
                <c:pt idx="2">
                  <c:v>생명과학과</c:v>
                </c:pt>
                <c:pt idx="3">
                  <c:v>글로벌바이오메디컬공학과</c:v>
                </c:pt>
                <c:pt idx="4">
                  <c:v>사회과학계열</c:v>
                </c:pt>
                <c:pt idx="5">
                  <c:v>전자전기공학부</c:v>
                </c:pt>
                <c:pt idx="6">
                  <c:v>화학과</c:v>
                </c:pt>
                <c:pt idx="7">
                  <c:v>글로벌리더학부</c:v>
                </c:pt>
                <c:pt idx="8">
                  <c:v>공학계열</c:v>
                </c:pt>
                <c:pt idx="9">
                  <c:v>소프트웨어학과</c:v>
                </c:pt>
                <c:pt idx="10">
                  <c:v>교육학과</c:v>
                </c:pt>
                <c:pt idx="11">
                  <c:v>수학과</c:v>
                </c:pt>
                <c:pt idx="12">
                  <c:v>수학교육과</c:v>
                </c:pt>
                <c:pt idx="13">
                  <c:v>글로벌경영학과</c:v>
                </c:pt>
                <c:pt idx="14">
                  <c:v>물리학과</c:v>
                </c:pt>
                <c:pt idx="15">
                  <c:v>영상학과</c:v>
                </c:pt>
                <c:pt idx="16">
                  <c:v>인문과학계열</c:v>
                </c:pt>
                <c:pt idx="17">
                  <c:v>건축학과(5년제)</c:v>
                </c:pt>
                <c:pt idx="18">
                  <c:v>글로벌경제학과</c:v>
                </c:pt>
                <c:pt idx="19">
                  <c:v>사회학과</c:v>
                </c:pt>
                <c:pt idx="20">
                  <c:v>철학과</c:v>
                </c:pt>
                <c:pt idx="21">
                  <c:v>컴퓨터교육과</c:v>
                </c:pt>
                <c:pt idx="22">
                  <c:v>국어국문학과</c:v>
                </c:pt>
                <c:pt idx="23">
                  <c:v>한문교육과</c:v>
                </c:pt>
                <c:pt idx="24">
                  <c:v>의상학과</c:v>
                </c:pt>
                <c:pt idx="25">
                  <c:v>사회복지학과</c:v>
                </c:pt>
                <c:pt idx="26">
                  <c:v>유학·동양학과</c:v>
                </c:pt>
                <c:pt idx="27">
                  <c:v>반도체융합공학과</c:v>
                </c:pt>
                <c:pt idx="28">
                  <c:v>아동청소년학과</c:v>
                </c:pt>
                <c:pt idx="29">
                  <c:v>에너지학과</c:v>
                </c:pt>
                <c:pt idx="30">
                  <c:v>한문학과</c:v>
                </c:pt>
                <c:pt idx="31">
                  <c:v>사학과</c:v>
                </c:pt>
                <c:pt idx="32">
                  <c:v>통계학과</c:v>
                </c:pt>
                <c:pt idx="33">
                  <c:v>심리학과</c:v>
                </c:pt>
              </c:strCache>
            </c:strRef>
          </c:cat>
          <c:val>
            <c:numRef>
              <c:f>'2024'!$H$3:$H$36</c:f>
              <c:numCache>
                <c:formatCode>0.00_);[Red]\(0.00\)</c:formatCode>
                <c:ptCount val="34"/>
                <c:pt idx="0">
                  <c:v>1.5</c:v>
                </c:pt>
                <c:pt idx="1">
                  <c:v>1.38</c:v>
                </c:pt>
                <c:pt idx="2">
                  <c:v>1.5</c:v>
                </c:pt>
                <c:pt idx="3">
                  <c:v>1.53</c:v>
                </c:pt>
                <c:pt idx="4">
                  <c:v>1.46</c:v>
                </c:pt>
                <c:pt idx="5">
                  <c:v>1.46</c:v>
                </c:pt>
                <c:pt idx="6" formatCode="General">
                  <c:v>1.59</c:v>
                </c:pt>
                <c:pt idx="7">
                  <c:v>1.55</c:v>
                </c:pt>
                <c:pt idx="8">
                  <c:v>1.54</c:v>
                </c:pt>
                <c:pt idx="9">
                  <c:v>1.53</c:v>
                </c:pt>
                <c:pt idx="10">
                  <c:v>1.41</c:v>
                </c:pt>
                <c:pt idx="11">
                  <c:v>1.61</c:v>
                </c:pt>
                <c:pt idx="12">
                  <c:v>1.44</c:v>
                </c:pt>
                <c:pt idx="13">
                  <c:v>1.62</c:v>
                </c:pt>
                <c:pt idx="14">
                  <c:v>1.65</c:v>
                </c:pt>
                <c:pt idx="15">
                  <c:v>1.64</c:v>
                </c:pt>
                <c:pt idx="16">
                  <c:v>1.67</c:v>
                </c:pt>
                <c:pt idx="17">
                  <c:v>1.75</c:v>
                </c:pt>
                <c:pt idx="18">
                  <c:v>1.74</c:v>
                </c:pt>
                <c:pt idx="19">
                  <c:v>1.58</c:v>
                </c:pt>
                <c:pt idx="20">
                  <c:v>1.8</c:v>
                </c:pt>
                <c:pt idx="21">
                  <c:v>1.68</c:v>
                </c:pt>
                <c:pt idx="22">
                  <c:v>1.79</c:v>
                </c:pt>
                <c:pt idx="23" formatCode="General">
                  <c:v>1.88</c:v>
                </c:pt>
                <c:pt idx="24">
                  <c:v>1.81</c:v>
                </c:pt>
                <c:pt idx="25">
                  <c:v>1.87</c:v>
                </c:pt>
                <c:pt idx="26">
                  <c:v>1.81</c:v>
                </c:pt>
                <c:pt idx="27">
                  <c:v>1.75</c:v>
                </c:pt>
                <c:pt idx="28">
                  <c:v>1.78</c:v>
                </c:pt>
                <c:pt idx="29">
                  <c:v>1.88</c:v>
                </c:pt>
                <c:pt idx="30" formatCode="General">
                  <c:v>1.93</c:v>
                </c:pt>
                <c:pt idx="31">
                  <c:v>1.84</c:v>
                </c:pt>
                <c:pt idx="32">
                  <c:v>1.64</c:v>
                </c:pt>
                <c:pt idx="33">
                  <c:v>2.13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6-49F9-8646-BF4F98497065}"/>
            </c:ext>
          </c:extLst>
        </c:ser>
        <c:ser>
          <c:idx val="1"/>
          <c:order val="1"/>
          <c:tx>
            <c:v>70%컷</c:v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'2024'!$G$3:$G$36</c:f>
              <c:strCache>
                <c:ptCount val="34"/>
                <c:pt idx="0">
                  <c:v>자연과학계열</c:v>
                </c:pt>
                <c:pt idx="1">
                  <c:v>경영학과</c:v>
                </c:pt>
                <c:pt idx="2">
                  <c:v>생명과학과</c:v>
                </c:pt>
                <c:pt idx="3">
                  <c:v>글로벌바이오메디컬공학과</c:v>
                </c:pt>
                <c:pt idx="4">
                  <c:v>사회과학계열</c:v>
                </c:pt>
                <c:pt idx="5">
                  <c:v>전자전기공학부</c:v>
                </c:pt>
                <c:pt idx="6">
                  <c:v>화학과</c:v>
                </c:pt>
                <c:pt idx="7">
                  <c:v>글로벌리더학부</c:v>
                </c:pt>
                <c:pt idx="8">
                  <c:v>공학계열</c:v>
                </c:pt>
                <c:pt idx="9">
                  <c:v>소프트웨어학과</c:v>
                </c:pt>
                <c:pt idx="10">
                  <c:v>교육학과</c:v>
                </c:pt>
                <c:pt idx="11">
                  <c:v>수학과</c:v>
                </c:pt>
                <c:pt idx="12">
                  <c:v>수학교육과</c:v>
                </c:pt>
                <c:pt idx="13">
                  <c:v>글로벌경영학과</c:v>
                </c:pt>
                <c:pt idx="14">
                  <c:v>물리학과</c:v>
                </c:pt>
                <c:pt idx="15">
                  <c:v>영상학과</c:v>
                </c:pt>
                <c:pt idx="16">
                  <c:v>인문과학계열</c:v>
                </c:pt>
                <c:pt idx="17">
                  <c:v>건축학과(5년제)</c:v>
                </c:pt>
                <c:pt idx="18">
                  <c:v>글로벌경제학과</c:v>
                </c:pt>
                <c:pt idx="19">
                  <c:v>사회학과</c:v>
                </c:pt>
                <c:pt idx="20">
                  <c:v>철학과</c:v>
                </c:pt>
                <c:pt idx="21">
                  <c:v>컴퓨터교육과</c:v>
                </c:pt>
                <c:pt idx="22">
                  <c:v>국어국문학과</c:v>
                </c:pt>
                <c:pt idx="23">
                  <c:v>한문교육과</c:v>
                </c:pt>
                <c:pt idx="24">
                  <c:v>의상학과</c:v>
                </c:pt>
                <c:pt idx="25">
                  <c:v>사회복지학과</c:v>
                </c:pt>
                <c:pt idx="26">
                  <c:v>유학·동양학과</c:v>
                </c:pt>
                <c:pt idx="27">
                  <c:v>반도체융합공학과</c:v>
                </c:pt>
                <c:pt idx="28">
                  <c:v>아동청소년학과</c:v>
                </c:pt>
                <c:pt idx="29">
                  <c:v>에너지학과</c:v>
                </c:pt>
                <c:pt idx="30">
                  <c:v>한문학과</c:v>
                </c:pt>
                <c:pt idx="31">
                  <c:v>사학과</c:v>
                </c:pt>
                <c:pt idx="32">
                  <c:v>통계학과</c:v>
                </c:pt>
                <c:pt idx="33">
                  <c:v>심리학과</c:v>
                </c:pt>
              </c:strCache>
            </c:strRef>
          </c:cat>
          <c:val>
            <c:numRef>
              <c:f>'2024'!$I$3:$I$36</c:f>
              <c:numCache>
                <c:formatCode>General</c:formatCode>
                <c:ptCount val="34"/>
                <c:pt idx="0">
                  <c:v>2.0000000000000018E-2</c:v>
                </c:pt>
                <c:pt idx="1">
                  <c:v>6.0000000000000053E-2</c:v>
                </c:pt>
                <c:pt idx="2">
                  <c:v>5.0000000000000044E-2</c:v>
                </c:pt>
                <c:pt idx="3">
                  <c:v>3.0000000000000027E-2</c:v>
                </c:pt>
                <c:pt idx="4">
                  <c:v>6.0000000000000053E-2</c:v>
                </c:pt>
                <c:pt idx="5">
                  <c:v>6.0000000000000053E-2</c:v>
                </c:pt>
                <c:pt idx="6">
                  <c:v>1.0000000000000009E-2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2.0000000000000018E-2</c:v>
                </c:pt>
                <c:pt idx="10">
                  <c:v>0.16000000000000014</c:v>
                </c:pt>
                <c:pt idx="11">
                  <c:v>6.999999999999984E-2</c:v>
                </c:pt>
                <c:pt idx="12">
                  <c:v>0.1100000000000001</c:v>
                </c:pt>
                <c:pt idx="13">
                  <c:v>4.9999999999999822E-2</c:v>
                </c:pt>
                <c:pt idx="14">
                  <c:v>3.0000000000000027E-2</c:v>
                </c:pt>
                <c:pt idx="15">
                  <c:v>0.10000000000000009</c:v>
                </c:pt>
                <c:pt idx="16">
                  <c:v>0.10000000000000009</c:v>
                </c:pt>
                <c:pt idx="17">
                  <c:v>5.0000000000000044E-2</c:v>
                </c:pt>
                <c:pt idx="18">
                  <c:v>7.0000000000000062E-2</c:v>
                </c:pt>
                <c:pt idx="19">
                  <c:v>6.999999999999984E-2</c:v>
                </c:pt>
                <c:pt idx="20">
                  <c:v>2.0000000000000018E-2</c:v>
                </c:pt>
                <c:pt idx="21">
                  <c:v>0.12000000000000011</c:v>
                </c:pt>
                <c:pt idx="22">
                  <c:v>1.0000000000000009E-2</c:v>
                </c:pt>
                <c:pt idx="23">
                  <c:v>1.0000000000000009E-2</c:v>
                </c:pt>
                <c:pt idx="24">
                  <c:v>6.0000000000000053E-2</c:v>
                </c:pt>
                <c:pt idx="25">
                  <c:v>3.9999999999999813E-2</c:v>
                </c:pt>
                <c:pt idx="26">
                  <c:v>7.9999999999999849E-2</c:v>
                </c:pt>
                <c:pt idx="27">
                  <c:v>0.12000000000000011</c:v>
                </c:pt>
                <c:pt idx="28">
                  <c:v>8.0000000000000071E-2</c:v>
                </c:pt>
                <c:pt idx="29">
                  <c:v>5.0000000000000044E-2</c:v>
                </c:pt>
                <c:pt idx="30">
                  <c:v>4.0000000000000036E-2</c:v>
                </c:pt>
                <c:pt idx="31">
                  <c:v>8.9999999999999858E-2</c:v>
                </c:pt>
                <c:pt idx="32">
                  <c:v>0.16000000000000014</c:v>
                </c:pt>
                <c:pt idx="3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66-49F9-8646-BF4F98497065}"/>
            </c:ext>
          </c:extLst>
        </c:ser>
        <c:ser>
          <c:idx val="2"/>
          <c:order val="2"/>
          <c:tx>
            <c:v>100%컷</c:v>
          </c:tx>
          <c:spPr>
            <a:solidFill>
              <a:srgbClr val="FF0000"/>
            </a:solidFill>
            <a:ln>
              <a:noFill/>
              <a:prstDash val="solid"/>
            </a:ln>
          </c:spPr>
          <c:invertIfNegative val="0"/>
          <c:cat>
            <c:strRef>
              <c:f>'2024'!$G$3:$G$36</c:f>
              <c:strCache>
                <c:ptCount val="34"/>
                <c:pt idx="0">
                  <c:v>자연과학계열</c:v>
                </c:pt>
                <c:pt idx="1">
                  <c:v>경영학과</c:v>
                </c:pt>
                <c:pt idx="2">
                  <c:v>생명과학과</c:v>
                </c:pt>
                <c:pt idx="3">
                  <c:v>글로벌바이오메디컬공학과</c:v>
                </c:pt>
                <c:pt idx="4">
                  <c:v>사회과학계열</c:v>
                </c:pt>
                <c:pt idx="5">
                  <c:v>전자전기공학부</c:v>
                </c:pt>
                <c:pt idx="6">
                  <c:v>화학과</c:v>
                </c:pt>
                <c:pt idx="7">
                  <c:v>글로벌리더학부</c:v>
                </c:pt>
                <c:pt idx="8">
                  <c:v>공학계열</c:v>
                </c:pt>
                <c:pt idx="9">
                  <c:v>소프트웨어학과</c:v>
                </c:pt>
                <c:pt idx="10">
                  <c:v>교육학과</c:v>
                </c:pt>
                <c:pt idx="11">
                  <c:v>수학과</c:v>
                </c:pt>
                <c:pt idx="12">
                  <c:v>수학교육과</c:v>
                </c:pt>
                <c:pt idx="13">
                  <c:v>글로벌경영학과</c:v>
                </c:pt>
                <c:pt idx="14">
                  <c:v>물리학과</c:v>
                </c:pt>
                <c:pt idx="15">
                  <c:v>영상학과</c:v>
                </c:pt>
                <c:pt idx="16">
                  <c:v>인문과학계열</c:v>
                </c:pt>
                <c:pt idx="17">
                  <c:v>건축학과(5년제)</c:v>
                </c:pt>
                <c:pt idx="18">
                  <c:v>글로벌경제학과</c:v>
                </c:pt>
                <c:pt idx="19">
                  <c:v>사회학과</c:v>
                </c:pt>
                <c:pt idx="20">
                  <c:v>철학과</c:v>
                </c:pt>
                <c:pt idx="21">
                  <c:v>컴퓨터교육과</c:v>
                </c:pt>
                <c:pt idx="22">
                  <c:v>국어국문학과</c:v>
                </c:pt>
                <c:pt idx="23">
                  <c:v>한문교육과</c:v>
                </c:pt>
                <c:pt idx="24">
                  <c:v>의상학과</c:v>
                </c:pt>
                <c:pt idx="25">
                  <c:v>사회복지학과</c:v>
                </c:pt>
                <c:pt idx="26">
                  <c:v>유학·동양학과</c:v>
                </c:pt>
                <c:pt idx="27">
                  <c:v>반도체융합공학과</c:v>
                </c:pt>
                <c:pt idx="28">
                  <c:v>아동청소년학과</c:v>
                </c:pt>
                <c:pt idx="29">
                  <c:v>에너지학과</c:v>
                </c:pt>
                <c:pt idx="30">
                  <c:v>한문학과</c:v>
                </c:pt>
                <c:pt idx="31">
                  <c:v>사학과</c:v>
                </c:pt>
                <c:pt idx="32">
                  <c:v>통계학과</c:v>
                </c:pt>
                <c:pt idx="33">
                  <c:v>심리학과</c:v>
                </c:pt>
              </c:strCache>
            </c:strRef>
          </c:cat>
          <c:val>
            <c:numRef>
              <c:f>'2024'!$J$3:$J$36</c:f>
              <c:numCache>
                <c:formatCode>General</c:formatCode>
                <c:ptCount val="34"/>
                <c:pt idx="0">
                  <c:v>3.0000000000000027E-2</c:v>
                </c:pt>
                <c:pt idx="1">
                  <c:v>0.14000000000000012</c:v>
                </c:pt>
                <c:pt idx="2">
                  <c:v>3.0000000000000027E-2</c:v>
                </c:pt>
                <c:pt idx="3">
                  <c:v>3.0000000000000027E-2</c:v>
                </c:pt>
                <c:pt idx="4">
                  <c:v>9.000000000000008E-2</c:v>
                </c:pt>
                <c:pt idx="5">
                  <c:v>9.000000000000008E-2</c:v>
                </c:pt>
                <c:pt idx="6">
                  <c:v>1.0000000000000009E-2</c:v>
                </c:pt>
                <c:pt idx="7">
                  <c:v>5.0000000000000044E-2</c:v>
                </c:pt>
                <c:pt idx="8">
                  <c:v>7.9999999999999849E-2</c:v>
                </c:pt>
                <c:pt idx="9">
                  <c:v>9.9999999999999867E-2</c:v>
                </c:pt>
                <c:pt idx="10">
                  <c:v>0.12999999999999989</c:v>
                </c:pt>
                <c:pt idx="11">
                  <c:v>2.0000000000000018E-2</c:v>
                </c:pt>
                <c:pt idx="12">
                  <c:v>0.15999999999999992</c:v>
                </c:pt>
                <c:pt idx="13">
                  <c:v>8.0000000000000071E-2</c:v>
                </c:pt>
                <c:pt idx="14">
                  <c:v>0.10000000000000009</c:v>
                </c:pt>
                <c:pt idx="15">
                  <c:v>8.0000000000000071E-2</c:v>
                </c:pt>
                <c:pt idx="16">
                  <c:v>6.0000000000000053E-2</c:v>
                </c:pt>
                <c:pt idx="17">
                  <c:v>4.0000000000000036E-2</c:v>
                </c:pt>
                <c:pt idx="18">
                  <c:v>3.0000000000000027E-2</c:v>
                </c:pt>
                <c:pt idx="19">
                  <c:v>0.20000000000000018</c:v>
                </c:pt>
                <c:pt idx="20">
                  <c:v>3.0000000000000027E-2</c:v>
                </c:pt>
                <c:pt idx="21">
                  <c:v>5.0000000000000044E-2</c:v>
                </c:pt>
                <c:pt idx="22">
                  <c:v>6.0000000000000053E-2</c:v>
                </c:pt>
                <c:pt idx="23">
                  <c:v>3.0000000000000027E-2</c:v>
                </c:pt>
                <c:pt idx="24">
                  <c:v>5.9999999999999831E-2</c:v>
                </c:pt>
                <c:pt idx="25">
                  <c:v>4.0000000000000036E-2</c:v>
                </c:pt>
                <c:pt idx="26">
                  <c:v>7.0000000000000062E-2</c:v>
                </c:pt>
                <c:pt idx="27">
                  <c:v>9.9999999999999867E-2</c:v>
                </c:pt>
                <c:pt idx="28">
                  <c:v>0.10999999999999988</c:v>
                </c:pt>
                <c:pt idx="29">
                  <c:v>7.0000000000000062E-2</c:v>
                </c:pt>
                <c:pt idx="30">
                  <c:v>7.9999999999999849E-2</c:v>
                </c:pt>
                <c:pt idx="31">
                  <c:v>0.21000000000000019</c:v>
                </c:pt>
                <c:pt idx="32">
                  <c:v>0.34999999999999987</c:v>
                </c:pt>
                <c:pt idx="33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66-49F9-8646-BF4F98497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6565007"/>
        <c:axId val="1466565967"/>
      </c:barChart>
      <c:catAx>
        <c:axId val="1466565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66565967"/>
        <c:crosses val="autoZero"/>
        <c:auto val="1"/>
        <c:lblAlgn val="ctr"/>
        <c:lblOffset val="100"/>
        <c:noMultiLvlLbl val="0"/>
      </c:catAx>
      <c:valAx>
        <c:axId val="1466565967"/>
        <c:scaling>
          <c:orientation val="minMax"/>
          <c:max val="2.4"/>
          <c:min val="1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66565007"/>
        <c:crosses val="autoZero"/>
        <c:crossBetween val="between"/>
        <c:majorUnit val="0.1"/>
      </c:valAx>
    </c:plotArea>
    <c:legend>
      <c:legendPos val="r"/>
      <c:layout>
        <c:manualLayout>
          <c:xMode val="edge"/>
          <c:yMode val="edge"/>
          <c:x val="0.67571940163921229"/>
          <c:y val="0.81634525410469938"/>
          <c:w val="0.24267175498768176"/>
          <c:h val="0.14073695631076377"/>
        </c:manualLayout>
      </c:layout>
      <c:overlay val="0"/>
      <c:txPr>
        <a:bodyPr/>
        <a:lstStyle/>
        <a:p>
          <a:pPr>
            <a:defRPr sz="2800"/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41</xdr:col>
      <xdr:colOff>658091</xdr:colOff>
      <xdr:row>56</xdr:row>
      <xdr:rowOff>182708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51954</xdr:colOff>
      <xdr:row>0</xdr:row>
      <xdr:rowOff>0</xdr:rowOff>
    </xdr:from>
    <xdr:to>
      <xdr:col>42</xdr:col>
      <xdr:colOff>17318</xdr:colOff>
      <xdr:row>56</xdr:row>
      <xdr:rowOff>173184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E5CA9F-6EE6-42D0-9BDA-819E39BC9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51955</xdr:colOff>
      <xdr:row>0</xdr:row>
      <xdr:rowOff>0</xdr:rowOff>
    </xdr:from>
    <xdr:to>
      <xdr:col>42</xdr:col>
      <xdr:colOff>17319</xdr:colOff>
      <xdr:row>56</xdr:row>
      <xdr:rowOff>173184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C5E0BA-FB63-4B57-A5AF-FF9D6789BD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0.79057</cdr:x>
      <cdr:y>0.07473</cdr:y>
    </cdr:from>
    <cdr:to>
      <cdr:x>0.80759</cdr:x>
      <cdr:y>0.11481</cdr:y>
    </cdr:to>
    <cdr:sp macro="" textlink="">
      <cdr:nvSpPr>
        <cdr:cNvPr id="3" name="막힌 원호 2">
          <a:extLst xmlns:a="http://schemas.openxmlformats.org/drawingml/2006/main">
            <a:ext uri="{FF2B5EF4-FFF2-40B4-BE49-F238E27FC236}">
              <a16:creationId xmlns:a16="http://schemas.microsoft.com/office/drawing/2014/main" id="{C9556CDF-69E0-EA3D-FA0F-FF1E7065FFDC}"/>
            </a:ext>
          </a:extLst>
        </cdr:cNvPr>
        <cdr:cNvSpPr/>
      </cdr:nvSpPr>
      <cdr:spPr>
        <a:xfrm xmlns:a="http://schemas.openxmlformats.org/drawingml/2006/main" rot="5400000">
          <a:off x="24557183" y="943846"/>
          <a:ext cx="510885" cy="528202"/>
        </a:xfrm>
        <a:prstGeom xmlns:a="http://schemas.openxmlformats.org/drawingml/2006/main" prst="blockArc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ko-KR"/>
        </a:p>
      </cdr:txBody>
    </cdr:sp>
  </cdr:relSizeAnchor>
  <cdr:relSizeAnchor xmlns:cdr="http://schemas.openxmlformats.org/drawingml/2006/chartDrawing">
    <cdr:from>
      <cdr:x>0.87949</cdr:x>
      <cdr:y>0.076</cdr:y>
    </cdr:from>
    <cdr:to>
      <cdr:x>0.8965</cdr:x>
      <cdr:y>0.11608</cdr:y>
    </cdr:to>
    <cdr:sp macro="" textlink="">
      <cdr:nvSpPr>
        <cdr:cNvPr id="4" name="막힌 원호 3">
          <a:extLst xmlns:a="http://schemas.openxmlformats.org/drawingml/2006/main">
            <a:ext uri="{FF2B5EF4-FFF2-40B4-BE49-F238E27FC236}">
              <a16:creationId xmlns:a16="http://schemas.microsoft.com/office/drawing/2014/main" id="{530DCDF4-B246-7A29-9322-315060BE7E23}"/>
            </a:ext>
          </a:extLst>
        </cdr:cNvPr>
        <cdr:cNvSpPr/>
      </cdr:nvSpPr>
      <cdr:spPr>
        <a:xfrm xmlns:a="http://schemas.openxmlformats.org/drawingml/2006/main" rot="5400000">
          <a:off x="27318278" y="960010"/>
          <a:ext cx="510885" cy="528202"/>
        </a:xfrm>
        <a:prstGeom xmlns:a="http://schemas.openxmlformats.org/drawingml/2006/main" prst="blockArc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ko-KR"/>
        </a:p>
      </cdr:txBody>
    </cdr:sp>
  </cdr:relSizeAnchor>
  <cdr:relSizeAnchor xmlns:cdr="http://schemas.openxmlformats.org/drawingml/2006/chartDrawing">
    <cdr:from>
      <cdr:x>0.79253</cdr:x>
      <cdr:y>0.11821</cdr:y>
    </cdr:from>
    <cdr:to>
      <cdr:x>0.81124</cdr:x>
      <cdr:y>0.13764</cdr:y>
    </cdr:to>
    <cdr:pic>
      <cdr:nvPicPr>
        <cdr:cNvPr id="5" name="chart">
          <a:extLst xmlns:a="http://schemas.openxmlformats.org/drawingml/2006/main">
            <a:ext uri="{FF2B5EF4-FFF2-40B4-BE49-F238E27FC236}">
              <a16:creationId xmlns:a16="http://schemas.microsoft.com/office/drawing/2014/main" id="{DAA01BC3-F497-7BE9-F3F1-71F26EA723F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4609136" y="1506682"/>
          <a:ext cx="581106" cy="247685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0.88232</cdr:x>
      <cdr:y>0.11957</cdr:y>
    </cdr:from>
    <cdr:to>
      <cdr:x>0.90134</cdr:x>
      <cdr:y>0.14049</cdr:y>
    </cdr:to>
    <cdr:pic>
      <cdr:nvPicPr>
        <cdr:cNvPr id="6" name="chart">
          <a:extLst xmlns:a="http://schemas.openxmlformats.org/drawingml/2006/main">
            <a:ext uri="{FF2B5EF4-FFF2-40B4-BE49-F238E27FC236}">
              <a16:creationId xmlns:a16="http://schemas.microsoft.com/office/drawing/2014/main" id="{F95106AF-5AE6-A96B-309D-6392F08F9BA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27397364" y="1524000"/>
          <a:ext cx="590632" cy="266737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41"/>
  <sheetViews>
    <sheetView tabSelected="1" zoomScale="85" zoomScaleNormal="85" workbookViewId="0">
      <selection activeCell="B1" sqref="B1:AB1"/>
    </sheetView>
  </sheetViews>
  <sheetFormatPr defaultRowHeight="17.25" customHeight="1" x14ac:dyDescent="0.3"/>
  <cols>
    <col min="1" max="1" width="2.75" style="5" customWidth="1"/>
    <col min="2" max="2" width="26.375" style="5" customWidth="1"/>
    <col min="3" max="3" width="8.5" style="5" customWidth="1"/>
    <col min="4" max="4" width="8.5" style="5" hidden="1" customWidth="1"/>
    <col min="5" max="5" width="8.5" style="26" customWidth="1"/>
    <col min="6" max="10" width="8.5" style="5" customWidth="1"/>
    <col min="11" max="11" width="9" style="5" hidden="1" customWidth="1"/>
    <col min="12" max="12" width="9" style="5" customWidth="1"/>
    <col min="13" max="13" width="9" style="22" customWidth="1"/>
    <col min="14" max="14" width="0" style="5" hidden="1"/>
    <col min="15" max="19" width="9" style="5" customWidth="1"/>
    <col min="20" max="20" width="9" style="5" hidden="1" customWidth="1"/>
    <col min="21" max="21" width="9" style="5" customWidth="1"/>
    <col min="22" max="22" width="9" style="22" customWidth="1"/>
    <col min="23" max="23" width="0" style="5" hidden="1"/>
    <col min="24" max="24" width="9" style="5" customWidth="1"/>
    <col min="25" max="16384" width="9" style="5"/>
  </cols>
  <sheetData>
    <row r="1" spans="2:28" ht="27" customHeight="1" x14ac:dyDescent="0.3">
      <c r="B1" s="27" t="s">
        <v>53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2:28" ht="15" customHeight="1" x14ac:dyDescent="0.3">
      <c r="C2" s="28">
        <v>2026</v>
      </c>
      <c r="D2" s="29"/>
      <c r="E2" s="29"/>
      <c r="F2" s="29"/>
      <c r="G2" s="29"/>
      <c r="H2" s="29"/>
      <c r="I2" s="29"/>
      <c r="J2" s="29"/>
      <c r="K2" s="30"/>
      <c r="L2" s="31">
        <v>2025</v>
      </c>
      <c r="M2" s="32"/>
      <c r="N2" s="32"/>
      <c r="O2" s="32"/>
      <c r="P2" s="32"/>
      <c r="Q2" s="32"/>
      <c r="R2" s="32"/>
      <c r="S2" s="32"/>
      <c r="T2" s="33"/>
      <c r="U2" s="34">
        <v>2024</v>
      </c>
      <c r="V2" s="35"/>
      <c r="W2" s="35"/>
      <c r="X2" s="35"/>
      <c r="Y2" s="35"/>
      <c r="Z2" s="35"/>
      <c r="AA2" s="35"/>
      <c r="AB2" s="36"/>
    </row>
    <row r="3" spans="2:28" ht="17.25" customHeight="1" x14ac:dyDescent="0.3">
      <c r="B3" s="6" t="s">
        <v>0</v>
      </c>
      <c r="C3" s="7" t="s">
        <v>1</v>
      </c>
      <c r="D3" s="8" t="s">
        <v>44</v>
      </c>
      <c r="E3" s="25" t="s">
        <v>45</v>
      </c>
      <c r="F3" s="7" t="s">
        <v>3</v>
      </c>
      <c r="G3" s="9" t="s">
        <v>4</v>
      </c>
      <c r="H3" s="8" t="s">
        <v>5</v>
      </c>
      <c r="I3" s="8" t="s">
        <v>6</v>
      </c>
      <c r="J3" s="8" t="s">
        <v>7</v>
      </c>
      <c r="K3" s="7" t="s">
        <v>51</v>
      </c>
      <c r="L3" s="10" t="s">
        <v>1</v>
      </c>
      <c r="M3" s="11" t="s">
        <v>45</v>
      </c>
      <c r="N3" s="10" t="s">
        <v>2</v>
      </c>
      <c r="O3" s="10" t="s">
        <v>3</v>
      </c>
      <c r="P3" s="12" t="s">
        <v>4</v>
      </c>
      <c r="Q3" s="13" t="s">
        <v>5</v>
      </c>
      <c r="R3" s="13" t="s">
        <v>6</v>
      </c>
      <c r="S3" s="13" t="s">
        <v>7</v>
      </c>
      <c r="T3" s="12" t="s">
        <v>52</v>
      </c>
      <c r="U3" s="14" t="s">
        <v>1</v>
      </c>
      <c r="V3" s="15" t="s">
        <v>45</v>
      </c>
      <c r="W3" s="14" t="s">
        <v>2</v>
      </c>
      <c r="X3" s="14" t="s">
        <v>3</v>
      </c>
      <c r="Y3" s="16" t="s">
        <v>4</v>
      </c>
      <c r="Z3" s="17" t="s">
        <v>5</v>
      </c>
      <c r="AA3" s="17" t="s">
        <v>6</v>
      </c>
      <c r="AB3" s="17" t="s">
        <v>7</v>
      </c>
    </row>
    <row r="4" spans="2:28" ht="17.25" customHeight="1" x14ac:dyDescent="0.3">
      <c r="B4" s="6" t="s">
        <v>36</v>
      </c>
      <c r="C4" s="8">
        <v>10</v>
      </c>
      <c r="D4" s="8">
        <v>139</v>
      </c>
      <c r="E4" s="25">
        <v>13.9</v>
      </c>
      <c r="F4" s="8">
        <v>44</v>
      </c>
      <c r="G4" s="8">
        <v>440</v>
      </c>
      <c r="H4" s="8">
        <v>1.38</v>
      </c>
      <c r="I4" s="8">
        <v>1.39</v>
      </c>
      <c r="J4" s="8">
        <v>1.41</v>
      </c>
      <c r="K4" s="7" t="s">
        <v>9</v>
      </c>
      <c r="L4" s="10">
        <v>10</v>
      </c>
      <c r="M4" s="11">
        <v>15.8</v>
      </c>
      <c r="N4" s="10">
        <v>64</v>
      </c>
      <c r="O4" s="10">
        <f t="shared" ref="O4:O10" si="0">N4-L4</f>
        <v>54</v>
      </c>
      <c r="P4" s="12">
        <f t="shared" ref="P4:P10" si="1">(N4-L4)/L4*100</f>
        <v>540</v>
      </c>
      <c r="Q4" s="13">
        <v>1.52</v>
      </c>
      <c r="R4" s="13">
        <v>1.52</v>
      </c>
      <c r="S4" s="13">
        <v>1.57</v>
      </c>
      <c r="T4" s="12">
        <v>63.9</v>
      </c>
      <c r="U4" s="14">
        <v>10</v>
      </c>
      <c r="V4" s="15">
        <v>24.7</v>
      </c>
      <c r="W4" s="14">
        <v>79</v>
      </c>
      <c r="X4" s="14">
        <f t="shared" ref="X4:X10" si="2">W4-U4</f>
        <v>69</v>
      </c>
      <c r="Y4" s="16">
        <f t="shared" ref="Y4:Y10" si="3">(W4-U4)/U4*100</f>
        <v>690</v>
      </c>
      <c r="Z4" s="17">
        <v>1.46</v>
      </c>
      <c r="AA4" s="17">
        <v>1.52</v>
      </c>
      <c r="AB4" s="17">
        <v>1.61</v>
      </c>
    </row>
    <row r="5" spans="2:28" ht="17.25" customHeight="1" x14ac:dyDescent="0.3">
      <c r="B5" s="6" t="s">
        <v>24</v>
      </c>
      <c r="C5" s="8">
        <v>7</v>
      </c>
      <c r="D5" s="8">
        <v>54</v>
      </c>
      <c r="E5" s="25">
        <v>7.71</v>
      </c>
      <c r="F5" s="8">
        <v>17</v>
      </c>
      <c r="G5" s="8">
        <v>242.9</v>
      </c>
      <c r="H5" s="8">
        <v>1.41</v>
      </c>
      <c r="I5" s="8">
        <v>1.44</v>
      </c>
      <c r="J5" s="8">
        <v>1.5</v>
      </c>
      <c r="K5" s="7" t="s">
        <v>9</v>
      </c>
      <c r="L5" s="10">
        <v>7</v>
      </c>
      <c r="M5" s="11">
        <v>11.7</v>
      </c>
      <c r="N5" s="10">
        <v>14</v>
      </c>
      <c r="O5" s="10">
        <f t="shared" si="0"/>
        <v>7</v>
      </c>
      <c r="P5" s="12">
        <f t="shared" si="1"/>
        <v>100</v>
      </c>
      <c r="Q5" s="13">
        <v>1.45</v>
      </c>
      <c r="R5" s="13">
        <v>1.54</v>
      </c>
      <c r="S5" s="13">
        <v>1.62</v>
      </c>
      <c r="T5" s="12">
        <v>61</v>
      </c>
      <c r="U5" s="14">
        <v>7</v>
      </c>
      <c r="V5" s="15">
        <v>15.6</v>
      </c>
      <c r="W5" s="14">
        <v>18</v>
      </c>
      <c r="X5" s="14">
        <f t="shared" si="2"/>
        <v>11</v>
      </c>
      <c r="Y5" s="16">
        <f t="shared" si="3"/>
        <v>157.14285714285714</v>
      </c>
      <c r="Z5" s="17">
        <v>1.5</v>
      </c>
      <c r="AA5" s="17">
        <v>1.55</v>
      </c>
      <c r="AB5" s="17">
        <v>1.58</v>
      </c>
    </row>
    <row r="6" spans="2:28" ht="17.25" customHeight="1" x14ac:dyDescent="0.3">
      <c r="B6" s="6" t="s">
        <v>34</v>
      </c>
      <c r="C6" s="8">
        <v>15</v>
      </c>
      <c r="D6" s="8">
        <v>159</v>
      </c>
      <c r="E6" s="25">
        <v>10.6</v>
      </c>
      <c r="F6" s="8">
        <v>42</v>
      </c>
      <c r="G6" s="8">
        <v>280</v>
      </c>
      <c r="H6" s="8">
        <v>1.38</v>
      </c>
      <c r="I6" s="8">
        <v>1.44</v>
      </c>
      <c r="J6" s="8">
        <v>1.5</v>
      </c>
      <c r="K6" s="7" t="s">
        <v>9</v>
      </c>
      <c r="L6" s="10">
        <v>16</v>
      </c>
      <c r="M6" s="11">
        <v>12.3</v>
      </c>
      <c r="N6" s="10">
        <v>62</v>
      </c>
      <c r="O6" s="10">
        <f t="shared" si="0"/>
        <v>46</v>
      </c>
      <c r="P6" s="12">
        <f t="shared" si="1"/>
        <v>287.5</v>
      </c>
      <c r="Q6" s="13">
        <v>1.47</v>
      </c>
      <c r="R6" s="13">
        <v>1.5</v>
      </c>
      <c r="S6" s="13">
        <v>1.57</v>
      </c>
      <c r="T6" s="12">
        <v>67.5</v>
      </c>
      <c r="U6" s="14">
        <v>20</v>
      </c>
      <c r="V6" s="15">
        <v>17.3</v>
      </c>
      <c r="W6" s="14">
        <v>66</v>
      </c>
      <c r="X6" s="14">
        <f t="shared" si="2"/>
        <v>46</v>
      </c>
      <c r="Y6" s="16">
        <f t="shared" si="3"/>
        <v>229.99999999999997</v>
      </c>
      <c r="Z6" s="17">
        <v>1.5</v>
      </c>
      <c r="AA6" s="17">
        <v>1.52</v>
      </c>
      <c r="AB6" s="17">
        <v>1.55</v>
      </c>
    </row>
    <row r="7" spans="2:28" ht="17.25" customHeight="1" x14ac:dyDescent="0.3">
      <c r="B7" s="6" t="s">
        <v>11</v>
      </c>
      <c r="C7" s="8">
        <v>40</v>
      </c>
      <c r="D7" s="8">
        <v>396</v>
      </c>
      <c r="E7" s="25">
        <v>9.9</v>
      </c>
      <c r="F7" s="8">
        <v>128</v>
      </c>
      <c r="G7" s="8">
        <v>320</v>
      </c>
      <c r="H7" s="8">
        <v>1.47</v>
      </c>
      <c r="I7" s="8">
        <v>1.48</v>
      </c>
      <c r="J7" s="8">
        <v>1.53</v>
      </c>
      <c r="K7" s="7" t="s">
        <v>9</v>
      </c>
      <c r="L7" s="10">
        <v>38</v>
      </c>
      <c r="M7" s="11">
        <v>14.1</v>
      </c>
      <c r="N7" s="10">
        <v>149</v>
      </c>
      <c r="O7" s="10">
        <f t="shared" si="0"/>
        <v>111</v>
      </c>
      <c r="P7" s="12">
        <f t="shared" si="1"/>
        <v>292.10526315789474</v>
      </c>
      <c r="Q7" s="13">
        <v>1.43</v>
      </c>
      <c r="R7" s="13">
        <v>1.52</v>
      </c>
      <c r="S7" s="13">
        <v>1.59</v>
      </c>
      <c r="T7" s="12">
        <v>69.099999999999994</v>
      </c>
      <c r="U7" s="14">
        <v>40</v>
      </c>
      <c r="V7" s="15">
        <v>13.3</v>
      </c>
      <c r="W7" s="14">
        <v>181</v>
      </c>
      <c r="X7" s="14">
        <f t="shared" si="2"/>
        <v>141</v>
      </c>
      <c r="Y7" s="16">
        <f t="shared" si="3"/>
        <v>352.5</v>
      </c>
      <c r="Z7" s="17">
        <v>1.54</v>
      </c>
      <c r="AA7" s="17">
        <v>1.56</v>
      </c>
      <c r="AB7" s="17">
        <v>1.64</v>
      </c>
    </row>
    <row r="8" spans="2:28" ht="17.25" customHeight="1" x14ac:dyDescent="0.3">
      <c r="B8" s="6" t="s">
        <v>47</v>
      </c>
      <c r="C8" s="8">
        <v>5</v>
      </c>
      <c r="D8" s="8">
        <v>69</v>
      </c>
      <c r="E8" s="25">
        <v>13.8</v>
      </c>
      <c r="F8" s="8">
        <v>6</v>
      </c>
      <c r="G8" s="8">
        <v>120</v>
      </c>
      <c r="H8" s="8">
        <v>1.47</v>
      </c>
      <c r="I8" s="8">
        <v>1.5</v>
      </c>
      <c r="J8" s="8">
        <v>1.53</v>
      </c>
      <c r="K8" s="7" t="s">
        <v>9</v>
      </c>
      <c r="L8" s="10">
        <v>10</v>
      </c>
      <c r="M8" s="11"/>
      <c r="N8" s="10">
        <v>29</v>
      </c>
      <c r="O8" s="10">
        <f t="shared" si="0"/>
        <v>19</v>
      </c>
      <c r="P8" s="12">
        <f t="shared" si="1"/>
        <v>190</v>
      </c>
      <c r="Q8" s="13">
        <v>1.48</v>
      </c>
      <c r="R8" s="13">
        <v>1.61</v>
      </c>
      <c r="S8" s="13">
        <v>1.71</v>
      </c>
      <c r="T8" s="12">
        <v>67.8</v>
      </c>
      <c r="U8" s="14">
        <v>10</v>
      </c>
      <c r="V8" s="15"/>
      <c r="W8" s="14">
        <v>36</v>
      </c>
      <c r="X8" s="14">
        <f t="shared" si="2"/>
        <v>26</v>
      </c>
      <c r="Y8" s="16">
        <f t="shared" si="3"/>
        <v>260</v>
      </c>
      <c r="Z8" s="17">
        <v>1.53</v>
      </c>
      <c r="AA8" s="17">
        <v>1.56</v>
      </c>
      <c r="AB8" s="17">
        <v>1.59</v>
      </c>
    </row>
    <row r="9" spans="2:28" ht="17.25" customHeight="1" x14ac:dyDescent="0.3">
      <c r="B9" s="6" t="s">
        <v>42</v>
      </c>
      <c r="C9" s="8">
        <v>7</v>
      </c>
      <c r="D9" s="8">
        <v>48</v>
      </c>
      <c r="E9" s="25">
        <v>6.86</v>
      </c>
      <c r="F9" s="8">
        <v>15</v>
      </c>
      <c r="G9" s="8">
        <v>214.3</v>
      </c>
      <c r="H9" s="8">
        <v>1.45</v>
      </c>
      <c r="I9" s="8">
        <v>1.49</v>
      </c>
      <c r="J9" s="8">
        <v>1.55</v>
      </c>
      <c r="K9" s="7" t="s">
        <v>9</v>
      </c>
      <c r="L9" s="10">
        <v>7</v>
      </c>
      <c r="M9" s="11">
        <v>9.6999999999999993</v>
      </c>
      <c r="N9" s="10">
        <v>18</v>
      </c>
      <c r="O9" s="10">
        <f t="shared" si="0"/>
        <v>11</v>
      </c>
      <c r="P9" s="12">
        <f t="shared" si="1"/>
        <v>157.14285714285714</v>
      </c>
      <c r="Q9" s="13">
        <v>1.5</v>
      </c>
      <c r="R9" s="13">
        <v>1.56</v>
      </c>
      <c r="S9" s="13">
        <v>1.59</v>
      </c>
      <c r="T9" s="12">
        <v>67.599999999999994</v>
      </c>
      <c r="U9" s="14">
        <v>7</v>
      </c>
      <c r="V9" s="15">
        <v>13.7</v>
      </c>
      <c r="W9" s="14">
        <v>16</v>
      </c>
      <c r="X9" s="14">
        <f t="shared" si="2"/>
        <v>9</v>
      </c>
      <c r="Y9" s="16">
        <f t="shared" si="3"/>
        <v>128.57142857142858</v>
      </c>
      <c r="Z9" s="17">
        <v>1.59</v>
      </c>
      <c r="AA9" s="17">
        <v>1.6</v>
      </c>
      <c r="AB9" s="17">
        <v>1.61</v>
      </c>
    </row>
    <row r="10" spans="2:28" ht="17.25" customHeight="1" x14ac:dyDescent="0.3">
      <c r="B10" s="6" t="s">
        <v>19</v>
      </c>
      <c r="C10" s="8">
        <v>7</v>
      </c>
      <c r="D10" s="8">
        <v>131</v>
      </c>
      <c r="E10" s="25">
        <v>18.71</v>
      </c>
      <c r="F10" s="8">
        <v>21</v>
      </c>
      <c r="G10" s="8">
        <v>300</v>
      </c>
      <c r="H10" s="8">
        <v>1.49</v>
      </c>
      <c r="I10" s="8">
        <v>1.52</v>
      </c>
      <c r="J10" s="8">
        <v>1.56</v>
      </c>
      <c r="K10" s="3" t="s">
        <v>15</v>
      </c>
      <c r="L10" s="10">
        <v>6</v>
      </c>
      <c r="M10" s="11">
        <v>19.8</v>
      </c>
      <c r="N10" s="10">
        <v>17</v>
      </c>
      <c r="O10" s="10">
        <f t="shared" si="0"/>
        <v>11</v>
      </c>
      <c r="P10" s="12">
        <f t="shared" si="1"/>
        <v>183.33333333333331</v>
      </c>
      <c r="Q10" s="13">
        <v>1.65</v>
      </c>
      <c r="R10" s="13">
        <v>1.71</v>
      </c>
      <c r="S10" s="13">
        <v>1.72</v>
      </c>
      <c r="T10" s="12">
        <v>57.1</v>
      </c>
      <c r="U10" s="14">
        <v>6</v>
      </c>
      <c r="V10" s="15">
        <v>12.5</v>
      </c>
      <c r="W10" s="14">
        <v>14</v>
      </c>
      <c r="X10" s="14">
        <f t="shared" si="2"/>
        <v>8</v>
      </c>
      <c r="Y10" s="16">
        <f t="shared" si="3"/>
        <v>133.33333333333331</v>
      </c>
      <c r="Z10" s="17">
        <v>1.75</v>
      </c>
      <c r="AA10" s="17">
        <v>1.87</v>
      </c>
      <c r="AB10" s="17">
        <v>1.97</v>
      </c>
    </row>
    <row r="11" spans="2:28" ht="17.25" customHeight="1" x14ac:dyDescent="0.3">
      <c r="B11" s="6" t="s">
        <v>48</v>
      </c>
      <c r="C11" s="8">
        <v>5</v>
      </c>
      <c r="D11" s="8">
        <v>83</v>
      </c>
      <c r="E11" s="25">
        <v>16.600000000000001</v>
      </c>
      <c r="F11" s="8">
        <v>12</v>
      </c>
      <c r="G11" s="8">
        <v>240</v>
      </c>
      <c r="H11" s="8">
        <v>1.48</v>
      </c>
      <c r="I11" s="8">
        <v>1.51</v>
      </c>
      <c r="J11" s="8">
        <v>1.56</v>
      </c>
      <c r="K11" s="3" t="s">
        <v>15</v>
      </c>
      <c r="L11" s="18"/>
      <c r="M11" s="19"/>
      <c r="N11" s="18"/>
      <c r="O11" s="18"/>
      <c r="P11" s="18"/>
      <c r="Q11" s="18"/>
      <c r="R11" s="18"/>
      <c r="S11" s="18"/>
      <c r="T11" s="18"/>
      <c r="U11" s="20"/>
      <c r="V11" s="21"/>
      <c r="W11" s="20"/>
      <c r="X11" s="20"/>
      <c r="Y11" s="20"/>
      <c r="Z11" s="20"/>
      <c r="AA11" s="20"/>
      <c r="AB11" s="20"/>
    </row>
    <row r="12" spans="2:28" ht="17.25" customHeight="1" x14ac:dyDescent="0.3">
      <c r="B12" s="6" t="s">
        <v>35</v>
      </c>
      <c r="C12" s="8">
        <v>20</v>
      </c>
      <c r="D12" s="8">
        <v>330</v>
      </c>
      <c r="E12" s="25">
        <v>16.5</v>
      </c>
      <c r="F12" s="8">
        <v>36</v>
      </c>
      <c r="G12" s="8">
        <v>180</v>
      </c>
      <c r="H12" s="8">
        <v>1.5</v>
      </c>
      <c r="I12" s="8">
        <v>1.51</v>
      </c>
      <c r="J12" s="8">
        <v>1.57</v>
      </c>
      <c r="K12" s="3" t="s">
        <v>15</v>
      </c>
      <c r="L12" s="10">
        <v>20</v>
      </c>
      <c r="M12" s="11"/>
      <c r="N12" s="10">
        <v>51</v>
      </c>
      <c r="O12" s="10">
        <f t="shared" ref="O12:O23" si="4">N12-L12</f>
        <v>31</v>
      </c>
      <c r="P12" s="12">
        <f t="shared" ref="P12:P23" si="5">(N12-L12)/L12*100</f>
        <v>155</v>
      </c>
      <c r="Q12" s="13">
        <v>1.65</v>
      </c>
      <c r="R12" s="13">
        <v>1.69</v>
      </c>
      <c r="S12" s="13">
        <v>1.8</v>
      </c>
      <c r="T12" s="12">
        <v>58.3</v>
      </c>
      <c r="U12" s="14"/>
      <c r="V12" s="15"/>
      <c r="W12" s="14"/>
      <c r="X12" s="14"/>
      <c r="Y12" s="16"/>
      <c r="Z12" s="17"/>
      <c r="AA12" s="17"/>
      <c r="AB12" s="17"/>
    </row>
    <row r="13" spans="2:28" ht="17.25" customHeight="1" x14ac:dyDescent="0.3">
      <c r="B13" s="6" t="s">
        <v>39</v>
      </c>
      <c r="C13" s="8">
        <v>12</v>
      </c>
      <c r="D13" s="8">
        <v>90</v>
      </c>
      <c r="E13" s="25">
        <v>7.5</v>
      </c>
      <c r="F13" s="8">
        <v>25</v>
      </c>
      <c r="G13" s="8">
        <v>208.3</v>
      </c>
      <c r="H13" s="8">
        <v>1.56</v>
      </c>
      <c r="I13" s="8">
        <v>1.58</v>
      </c>
      <c r="J13" s="8">
        <v>1.59</v>
      </c>
      <c r="K13" s="7" t="s">
        <v>9</v>
      </c>
      <c r="L13" s="10">
        <v>12</v>
      </c>
      <c r="M13" s="11">
        <v>9.6999999999999993</v>
      </c>
      <c r="N13" s="10">
        <v>39</v>
      </c>
      <c r="O13" s="10">
        <f t="shared" si="4"/>
        <v>27</v>
      </c>
      <c r="P13" s="12">
        <f t="shared" si="5"/>
        <v>225</v>
      </c>
      <c r="Q13" s="13">
        <v>1.58</v>
      </c>
      <c r="R13" s="13">
        <v>1.65</v>
      </c>
      <c r="S13" s="13">
        <v>1.75</v>
      </c>
      <c r="T13" s="12">
        <v>71.599999999999994</v>
      </c>
      <c r="U13" s="14">
        <v>12</v>
      </c>
      <c r="V13" s="15">
        <v>4.8</v>
      </c>
      <c r="W13" s="14">
        <v>31</v>
      </c>
      <c r="X13" s="14">
        <f t="shared" ref="X13:X23" si="6">W13-U13</f>
        <v>19</v>
      </c>
      <c r="Y13" s="16">
        <f t="shared" ref="Y13:Y23" si="7">(W13-U13)/U13*100</f>
        <v>158.33333333333331</v>
      </c>
      <c r="Z13" s="17">
        <v>1.64</v>
      </c>
      <c r="AA13" s="17">
        <v>1.8</v>
      </c>
      <c r="AB13" s="17">
        <v>2.15</v>
      </c>
    </row>
    <row r="14" spans="2:28" ht="17.25" customHeight="1" x14ac:dyDescent="0.3">
      <c r="B14" s="6" t="s">
        <v>30</v>
      </c>
      <c r="C14" s="8">
        <v>7</v>
      </c>
      <c r="D14" s="8">
        <v>110</v>
      </c>
      <c r="E14" s="25">
        <v>15.71</v>
      </c>
      <c r="F14" s="8">
        <v>13</v>
      </c>
      <c r="G14" s="8">
        <v>185.7</v>
      </c>
      <c r="H14" s="8">
        <v>1.58</v>
      </c>
      <c r="I14" s="8">
        <v>1.58</v>
      </c>
      <c r="J14" s="8">
        <v>1.65</v>
      </c>
      <c r="K14" s="3" t="s">
        <v>15</v>
      </c>
      <c r="L14" s="10">
        <v>6</v>
      </c>
      <c r="M14" s="11">
        <v>19.2</v>
      </c>
      <c r="N14" s="10">
        <v>12</v>
      </c>
      <c r="O14" s="10">
        <f t="shared" si="4"/>
        <v>6</v>
      </c>
      <c r="P14" s="12">
        <f t="shared" si="5"/>
        <v>100</v>
      </c>
      <c r="Q14" s="13">
        <v>1.66</v>
      </c>
      <c r="R14" s="13">
        <v>1.66</v>
      </c>
      <c r="S14" s="13">
        <v>1.72</v>
      </c>
      <c r="T14" s="12">
        <v>47</v>
      </c>
      <c r="U14" s="14">
        <v>6</v>
      </c>
      <c r="V14" s="15">
        <v>13.7</v>
      </c>
      <c r="W14" s="14">
        <v>18</v>
      </c>
      <c r="X14" s="14">
        <f t="shared" si="6"/>
        <v>12</v>
      </c>
      <c r="Y14" s="16">
        <f t="shared" si="7"/>
        <v>200</v>
      </c>
      <c r="Z14" s="17">
        <v>1.88</v>
      </c>
      <c r="AA14" s="17">
        <v>1.93</v>
      </c>
      <c r="AB14" s="17">
        <v>2</v>
      </c>
    </row>
    <row r="15" spans="2:28" ht="17.25" customHeight="1" x14ac:dyDescent="0.3">
      <c r="B15" s="6" t="s">
        <v>21</v>
      </c>
      <c r="C15" s="8">
        <v>20</v>
      </c>
      <c r="D15" s="8">
        <v>246</v>
      </c>
      <c r="E15" s="25">
        <v>12.3</v>
      </c>
      <c r="F15" s="8">
        <v>110</v>
      </c>
      <c r="G15" s="8">
        <v>550</v>
      </c>
      <c r="H15" s="8">
        <v>1.54</v>
      </c>
      <c r="I15" s="8">
        <v>1.58</v>
      </c>
      <c r="J15" s="8">
        <v>1.65</v>
      </c>
      <c r="K15" s="7" t="s">
        <v>9</v>
      </c>
      <c r="L15" s="10">
        <v>17</v>
      </c>
      <c r="M15" s="11">
        <v>13.1</v>
      </c>
      <c r="N15" s="10">
        <v>116</v>
      </c>
      <c r="O15" s="10">
        <f t="shared" si="4"/>
        <v>99</v>
      </c>
      <c r="P15" s="12">
        <f t="shared" si="5"/>
        <v>582.35294117647061</v>
      </c>
      <c r="Q15" s="13">
        <v>1.52</v>
      </c>
      <c r="R15" s="13">
        <v>1.71</v>
      </c>
      <c r="S15" s="13">
        <v>2</v>
      </c>
      <c r="T15" s="12">
        <v>73.900000000000006</v>
      </c>
      <c r="U15" s="14">
        <v>17</v>
      </c>
      <c r="V15" s="15">
        <v>10.9</v>
      </c>
      <c r="W15" s="14">
        <v>113</v>
      </c>
      <c r="X15" s="14">
        <f t="shared" si="6"/>
        <v>96</v>
      </c>
      <c r="Y15" s="16">
        <f t="shared" si="7"/>
        <v>564.70588235294122</v>
      </c>
      <c r="Z15" s="17">
        <v>1.46</v>
      </c>
      <c r="AA15" s="17">
        <v>1.52</v>
      </c>
      <c r="AB15" s="17">
        <v>1.61</v>
      </c>
    </row>
    <row r="16" spans="2:28" ht="17.25" customHeight="1" x14ac:dyDescent="0.3">
      <c r="B16" s="6" t="s">
        <v>38</v>
      </c>
      <c r="C16" s="8">
        <v>5</v>
      </c>
      <c r="D16" s="8">
        <v>43</v>
      </c>
      <c r="E16" s="25">
        <v>8.6</v>
      </c>
      <c r="F16" s="8">
        <v>7</v>
      </c>
      <c r="G16" s="8">
        <v>140</v>
      </c>
      <c r="H16" s="8">
        <v>1.61</v>
      </c>
      <c r="I16" s="8">
        <v>1.63</v>
      </c>
      <c r="J16" s="8">
        <v>1.68</v>
      </c>
      <c r="K16" s="7" t="s">
        <v>9</v>
      </c>
      <c r="L16" s="10">
        <v>5</v>
      </c>
      <c r="M16" s="11">
        <v>11.6</v>
      </c>
      <c r="N16" s="10">
        <v>12</v>
      </c>
      <c r="O16" s="10">
        <f t="shared" si="4"/>
        <v>7</v>
      </c>
      <c r="P16" s="12">
        <f t="shared" si="5"/>
        <v>140</v>
      </c>
      <c r="Q16" s="13">
        <v>1.61</v>
      </c>
      <c r="R16" s="13">
        <v>1.65</v>
      </c>
      <c r="S16" s="13">
        <v>1.7</v>
      </c>
      <c r="T16" s="12">
        <v>67.2</v>
      </c>
      <c r="U16" s="14">
        <v>5</v>
      </c>
      <c r="V16" s="15">
        <v>12</v>
      </c>
      <c r="W16" s="14">
        <v>11</v>
      </c>
      <c r="X16" s="14">
        <f t="shared" si="6"/>
        <v>6</v>
      </c>
      <c r="Y16" s="16">
        <f t="shared" si="7"/>
        <v>120</v>
      </c>
      <c r="Z16" s="17">
        <v>1.68</v>
      </c>
      <c r="AA16" s="17">
        <v>1.8</v>
      </c>
      <c r="AB16" s="17">
        <v>1.85</v>
      </c>
    </row>
    <row r="17" spans="2:28" ht="17.25" customHeight="1" x14ac:dyDescent="0.3">
      <c r="B17" s="6" t="s">
        <v>17</v>
      </c>
      <c r="C17" s="8">
        <v>10</v>
      </c>
      <c r="D17" s="8">
        <v>140</v>
      </c>
      <c r="E17" s="25">
        <v>14</v>
      </c>
      <c r="F17" s="8">
        <v>79</v>
      </c>
      <c r="G17" s="8">
        <v>790</v>
      </c>
      <c r="H17" s="8">
        <v>1.6</v>
      </c>
      <c r="I17" s="8">
        <v>1.62</v>
      </c>
      <c r="J17" s="8">
        <v>1.71</v>
      </c>
      <c r="K17" s="3" t="s">
        <v>15</v>
      </c>
      <c r="L17" s="10">
        <v>10</v>
      </c>
      <c r="M17" s="11">
        <v>10.7</v>
      </c>
      <c r="N17" s="10">
        <v>75</v>
      </c>
      <c r="O17" s="10">
        <f t="shared" si="4"/>
        <v>65</v>
      </c>
      <c r="P17" s="12">
        <f t="shared" si="5"/>
        <v>650</v>
      </c>
      <c r="Q17" s="13">
        <v>1.61</v>
      </c>
      <c r="R17" s="13">
        <v>1.81</v>
      </c>
      <c r="S17" s="13">
        <v>2.2000000000000002</v>
      </c>
      <c r="T17" s="12">
        <v>85</v>
      </c>
      <c r="U17" s="14">
        <v>10</v>
      </c>
      <c r="V17" s="15">
        <v>9.3000000000000007</v>
      </c>
      <c r="W17" s="14">
        <v>60</v>
      </c>
      <c r="X17" s="14">
        <f t="shared" si="6"/>
        <v>50</v>
      </c>
      <c r="Y17" s="16">
        <f t="shared" si="7"/>
        <v>500</v>
      </c>
      <c r="Z17" s="17">
        <v>1.55</v>
      </c>
      <c r="AA17" s="17">
        <v>1.57</v>
      </c>
      <c r="AB17" s="17">
        <v>1.62</v>
      </c>
    </row>
    <row r="18" spans="2:28" ht="17.25" customHeight="1" x14ac:dyDescent="0.3">
      <c r="B18" s="6" t="s">
        <v>16</v>
      </c>
      <c r="C18" s="8">
        <v>10</v>
      </c>
      <c r="D18" s="8">
        <v>132</v>
      </c>
      <c r="E18" s="25">
        <v>13.2</v>
      </c>
      <c r="F18" s="8">
        <v>46</v>
      </c>
      <c r="G18" s="8">
        <v>460</v>
      </c>
      <c r="H18" s="8">
        <v>1.6</v>
      </c>
      <c r="I18" s="8">
        <v>1.62</v>
      </c>
      <c r="J18" s="8">
        <v>1.72</v>
      </c>
      <c r="K18" s="3" t="s">
        <v>15</v>
      </c>
      <c r="L18" s="10">
        <v>10</v>
      </c>
      <c r="M18" s="11">
        <v>11.2</v>
      </c>
      <c r="N18" s="10">
        <v>45</v>
      </c>
      <c r="O18" s="10">
        <f t="shared" si="4"/>
        <v>35</v>
      </c>
      <c r="P18" s="12">
        <f t="shared" si="5"/>
        <v>350</v>
      </c>
      <c r="Q18" s="13">
        <v>1.67</v>
      </c>
      <c r="R18" s="13">
        <v>1.71</v>
      </c>
      <c r="S18" s="13">
        <v>1.79</v>
      </c>
      <c r="T18" s="12">
        <v>70.5</v>
      </c>
      <c r="U18" s="14">
        <v>10</v>
      </c>
      <c r="V18" s="15">
        <v>8.5</v>
      </c>
      <c r="W18" s="14">
        <v>51</v>
      </c>
      <c r="X18" s="14">
        <f t="shared" si="6"/>
        <v>41</v>
      </c>
      <c r="Y18" s="16">
        <f t="shared" si="7"/>
        <v>409.99999999999994</v>
      </c>
      <c r="Z18" s="17">
        <v>1.74</v>
      </c>
      <c r="AA18" s="17">
        <v>1.81</v>
      </c>
      <c r="AB18" s="17">
        <v>1.84</v>
      </c>
    </row>
    <row r="19" spans="2:28" ht="17.25" customHeight="1" x14ac:dyDescent="0.3">
      <c r="B19" s="6" t="s">
        <v>18</v>
      </c>
      <c r="C19" s="8">
        <v>7</v>
      </c>
      <c r="D19" s="8">
        <v>77</v>
      </c>
      <c r="E19" s="25">
        <v>11</v>
      </c>
      <c r="F19" s="8">
        <v>25</v>
      </c>
      <c r="G19" s="8">
        <v>357.1</v>
      </c>
      <c r="H19" s="8">
        <v>1.65</v>
      </c>
      <c r="I19" s="8">
        <v>1.66</v>
      </c>
      <c r="J19" s="8">
        <v>1.72</v>
      </c>
      <c r="K19" s="7" t="s">
        <v>9</v>
      </c>
      <c r="L19" s="10">
        <v>7</v>
      </c>
      <c r="M19" s="11">
        <v>8.4</v>
      </c>
      <c r="N19" s="10">
        <v>24</v>
      </c>
      <c r="O19" s="10">
        <f t="shared" si="4"/>
        <v>17</v>
      </c>
      <c r="P19" s="12">
        <f t="shared" si="5"/>
        <v>242.85714285714283</v>
      </c>
      <c r="Q19" s="13">
        <v>1.71</v>
      </c>
      <c r="R19" s="13">
        <v>1.72</v>
      </c>
      <c r="S19" s="13">
        <v>1.75</v>
      </c>
      <c r="T19" s="12">
        <v>71.2</v>
      </c>
      <c r="U19" s="14">
        <v>7</v>
      </c>
      <c r="V19" s="15">
        <v>13.1</v>
      </c>
      <c r="W19" s="14">
        <v>21</v>
      </c>
      <c r="X19" s="14">
        <f t="shared" si="6"/>
        <v>14</v>
      </c>
      <c r="Y19" s="16">
        <f t="shared" si="7"/>
        <v>200</v>
      </c>
      <c r="Z19" s="17">
        <v>1.65</v>
      </c>
      <c r="AA19" s="17">
        <v>1.68</v>
      </c>
      <c r="AB19" s="17">
        <v>1.78</v>
      </c>
    </row>
    <row r="20" spans="2:28" ht="17.25" customHeight="1" x14ac:dyDescent="0.3">
      <c r="B20" s="6" t="s">
        <v>28</v>
      </c>
      <c r="C20" s="8">
        <v>12</v>
      </c>
      <c r="D20" s="8">
        <v>90</v>
      </c>
      <c r="E20" s="25">
        <v>7.5</v>
      </c>
      <c r="F20" s="8">
        <v>25</v>
      </c>
      <c r="G20" s="8">
        <v>208.3</v>
      </c>
      <c r="H20" s="8">
        <v>1.59</v>
      </c>
      <c r="I20" s="8">
        <v>1.62</v>
      </c>
      <c r="J20" s="8">
        <v>1.73</v>
      </c>
      <c r="K20" s="7" t="s">
        <v>9</v>
      </c>
      <c r="L20" s="10">
        <v>12</v>
      </c>
      <c r="M20" s="11">
        <v>8.8000000000000007</v>
      </c>
      <c r="N20" s="10">
        <v>37</v>
      </c>
      <c r="O20" s="10">
        <f t="shared" si="4"/>
        <v>25</v>
      </c>
      <c r="P20" s="12">
        <f t="shared" si="5"/>
        <v>208.33333333333334</v>
      </c>
      <c r="Q20" s="13">
        <v>1.73</v>
      </c>
      <c r="R20" s="13">
        <v>1.77</v>
      </c>
      <c r="S20" s="13">
        <v>1.93</v>
      </c>
      <c r="T20" s="12">
        <v>65.7</v>
      </c>
      <c r="U20" s="14">
        <v>12</v>
      </c>
      <c r="V20" s="15">
        <v>5.0999999999999996</v>
      </c>
      <c r="W20" s="14">
        <v>27</v>
      </c>
      <c r="X20" s="14">
        <f t="shared" si="6"/>
        <v>15</v>
      </c>
      <c r="Y20" s="16">
        <f t="shared" si="7"/>
        <v>125</v>
      </c>
      <c r="Z20" s="17">
        <v>2.13</v>
      </c>
      <c r="AA20" s="17">
        <v>2.79</v>
      </c>
      <c r="AB20" s="17">
        <v>3.1</v>
      </c>
    </row>
    <row r="21" spans="2:28" ht="17.25" customHeight="1" x14ac:dyDescent="0.3">
      <c r="B21" s="6" t="s">
        <v>14</v>
      </c>
      <c r="C21" s="8">
        <v>10</v>
      </c>
      <c r="D21" s="8">
        <v>116</v>
      </c>
      <c r="E21" s="25">
        <v>11.6</v>
      </c>
      <c r="F21" s="8">
        <v>39</v>
      </c>
      <c r="G21" s="8">
        <v>390</v>
      </c>
      <c r="H21" s="8">
        <v>1.54</v>
      </c>
      <c r="I21" s="8">
        <v>1.61</v>
      </c>
      <c r="J21" s="8">
        <v>1.73</v>
      </c>
      <c r="K21" s="3" t="s">
        <v>15</v>
      </c>
      <c r="L21" s="10">
        <v>10</v>
      </c>
      <c r="M21" s="11">
        <v>13.8</v>
      </c>
      <c r="N21" s="10">
        <v>60</v>
      </c>
      <c r="O21" s="10">
        <f t="shared" si="4"/>
        <v>50</v>
      </c>
      <c r="P21" s="12">
        <f t="shared" si="5"/>
        <v>500</v>
      </c>
      <c r="Q21" s="13">
        <v>1.51</v>
      </c>
      <c r="R21" s="13">
        <v>1.54</v>
      </c>
      <c r="S21" s="13">
        <v>1.57</v>
      </c>
      <c r="T21" s="12">
        <v>76.099999999999994</v>
      </c>
      <c r="U21" s="14">
        <v>12</v>
      </c>
      <c r="V21" s="15">
        <v>13.3</v>
      </c>
      <c r="W21" s="14">
        <v>84</v>
      </c>
      <c r="X21" s="14">
        <f t="shared" si="6"/>
        <v>72</v>
      </c>
      <c r="Y21" s="16">
        <f t="shared" si="7"/>
        <v>600</v>
      </c>
      <c r="Z21" s="17">
        <v>1.62</v>
      </c>
      <c r="AA21" s="17">
        <v>1.67</v>
      </c>
      <c r="AB21" s="17">
        <v>1.75</v>
      </c>
    </row>
    <row r="22" spans="2:28" ht="17.25" customHeight="1" x14ac:dyDescent="0.3">
      <c r="B22" s="6" t="s">
        <v>33</v>
      </c>
      <c r="C22" s="8">
        <v>20</v>
      </c>
      <c r="D22" s="8">
        <v>147</v>
      </c>
      <c r="E22" s="25">
        <v>7.35</v>
      </c>
      <c r="F22" s="8">
        <v>46</v>
      </c>
      <c r="G22" s="8">
        <v>230</v>
      </c>
      <c r="H22" s="8">
        <v>1.62</v>
      </c>
      <c r="I22" s="8">
        <v>1.67</v>
      </c>
      <c r="J22" s="8">
        <v>1.74</v>
      </c>
      <c r="K22" s="7" t="s">
        <v>9</v>
      </c>
      <c r="L22" s="10">
        <v>16</v>
      </c>
      <c r="M22" s="11">
        <v>9</v>
      </c>
      <c r="N22" s="10">
        <v>75</v>
      </c>
      <c r="O22" s="10">
        <f t="shared" si="4"/>
        <v>59</v>
      </c>
      <c r="P22" s="12">
        <f t="shared" si="5"/>
        <v>368.75</v>
      </c>
      <c r="Q22" s="13">
        <v>1.62</v>
      </c>
      <c r="R22" s="13">
        <v>1.7</v>
      </c>
      <c r="S22" s="13">
        <v>1.94</v>
      </c>
      <c r="T22" s="12">
        <v>68.099999999999994</v>
      </c>
      <c r="U22" s="14">
        <v>18</v>
      </c>
      <c r="V22" s="15">
        <v>7.4</v>
      </c>
      <c r="W22" s="14">
        <v>71</v>
      </c>
      <c r="X22" s="14">
        <f t="shared" si="6"/>
        <v>53</v>
      </c>
      <c r="Y22" s="16">
        <f t="shared" si="7"/>
        <v>294.44444444444446</v>
      </c>
      <c r="Z22" s="17">
        <v>1.67</v>
      </c>
      <c r="AA22" s="17">
        <v>1.77</v>
      </c>
      <c r="AB22" s="17">
        <v>1.83</v>
      </c>
    </row>
    <row r="23" spans="2:28" ht="17.25" customHeight="1" x14ac:dyDescent="0.3">
      <c r="B23" s="6" t="s">
        <v>40</v>
      </c>
      <c r="C23" s="8">
        <v>5</v>
      </c>
      <c r="D23" s="8">
        <v>38</v>
      </c>
      <c r="E23" s="25">
        <v>7.6</v>
      </c>
      <c r="F23" s="8">
        <v>3</v>
      </c>
      <c r="G23" s="8">
        <v>60</v>
      </c>
      <c r="H23" s="8">
        <v>1.71</v>
      </c>
      <c r="I23" s="8">
        <v>1.72</v>
      </c>
      <c r="J23" s="8">
        <v>1.75</v>
      </c>
      <c r="K23" s="7" t="s">
        <v>9</v>
      </c>
      <c r="L23" s="10">
        <v>5</v>
      </c>
      <c r="M23" s="11">
        <v>7.4</v>
      </c>
      <c r="N23" s="10">
        <v>6</v>
      </c>
      <c r="O23" s="10">
        <f t="shared" si="4"/>
        <v>1</v>
      </c>
      <c r="P23" s="12">
        <f t="shared" si="5"/>
        <v>20</v>
      </c>
      <c r="Q23" s="13">
        <v>1.82</v>
      </c>
      <c r="R23" s="13">
        <v>1.82</v>
      </c>
      <c r="S23" s="13">
        <v>1.91</v>
      </c>
      <c r="T23" s="12">
        <v>43.2</v>
      </c>
      <c r="U23" s="14">
        <v>5</v>
      </c>
      <c r="V23" s="15">
        <v>8.6</v>
      </c>
      <c r="W23" s="14">
        <v>10</v>
      </c>
      <c r="X23" s="14">
        <f t="shared" si="6"/>
        <v>5</v>
      </c>
      <c r="Y23" s="16">
        <f t="shared" si="7"/>
        <v>100</v>
      </c>
      <c r="Z23" s="17">
        <v>1.88</v>
      </c>
      <c r="AA23" s="17">
        <v>1.89</v>
      </c>
      <c r="AB23" s="17">
        <v>1.92</v>
      </c>
    </row>
    <row r="24" spans="2:28" ht="17.25" customHeight="1" x14ac:dyDescent="0.3">
      <c r="B24" s="6" t="s">
        <v>46</v>
      </c>
      <c r="C24" s="8">
        <v>15</v>
      </c>
      <c r="D24" s="8">
        <v>112</v>
      </c>
      <c r="E24" s="25">
        <v>7.47</v>
      </c>
      <c r="F24" s="8">
        <v>16</v>
      </c>
      <c r="G24" s="8">
        <v>106.7</v>
      </c>
      <c r="H24" s="8">
        <v>1.63</v>
      </c>
      <c r="I24" s="8">
        <v>1.69</v>
      </c>
      <c r="J24" s="8">
        <v>1.75</v>
      </c>
      <c r="K24" s="7" t="s">
        <v>9</v>
      </c>
      <c r="L24" s="18"/>
      <c r="M24" s="19"/>
      <c r="N24" s="18"/>
      <c r="O24" s="18"/>
      <c r="P24" s="18"/>
      <c r="Q24" s="18"/>
      <c r="R24" s="18"/>
      <c r="S24" s="18"/>
      <c r="T24" s="18"/>
      <c r="U24" s="20"/>
      <c r="V24" s="21"/>
      <c r="W24" s="20"/>
      <c r="X24" s="20"/>
      <c r="Y24" s="20"/>
      <c r="Z24" s="20"/>
      <c r="AA24" s="20"/>
      <c r="AB24" s="20"/>
    </row>
    <row r="25" spans="2:28" ht="17.25" customHeight="1" x14ac:dyDescent="0.3">
      <c r="B25" s="6" t="s">
        <v>37</v>
      </c>
      <c r="C25" s="8">
        <v>12</v>
      </c>
      <c r="D25" s="8">
        <v>89</v>
      </c>
      <c r="E25" s="25">
        <v>7.42</v>
      </c>
      <c r="F25" s="8">
        <v>26</v>
      </c>
      <c r="G25" s="8">
        <v>216.7</v>
      </c>
      <c r="H25" s="8">
        <v>1.74</v>
      </c>
      <c r="I25" s="8">
        <v>1.75</v>
      </c>
      <c r="J25" s="8">
        <v>1.78</v>
      </c>
      <c r="K25" s="7" t="s">
        <v>9</v>
      </c>
      <c r="L25" s="10">
        <v>12</v>
      </c>
      <c r="M25" s="11">
        <v>9.8000000000000007</v>
      </c>
      <c r="N25" s="10">
        <v>38</v>
      </c>
      <c r="O25" s="10">
        <f t="shared" ref="O25:O40" si="8">N25-L25</f>
        <v>26</v>
      </c>
      <c r="P25" s="12">
        <f t="shared" ref="P25:P40" si="9">(N25-L25)/L25*100</f>
        <v>216.66666666666666</v>
      </c>
      <c r="Q25" s="13">
        <v>1.8</v>
      </c>
      <c r="R25" s="13">
        <v>1.81</v>
      </c>
      <c r="S25" s="13">
        <v>2.02</v>
      </c>
      <c r="T25" s="12">
        <v>64.400000000000006</v>
      </c>
      <c r="U25" s="14">
        <v>12</v>
      </c>
      <c r="V25" s="15">
        <v>6.4</v>
      </c>
      <c r="W25" s="14">
        <v>31</v>
      </c>
      <c r="X25" s="14">
        <f t="shared" ref="X25:X40" si="10">W25-U25</f>
        <v>19</v>
      </c>
      <c r="Y25" s="16">
        <f t="shared" ref="Y25:Y40" si="11">(W25-U25)/U25*100</f>
        <v>158.33333333333331</v>
      </c>
      <c r="Z25" s="17">
        <v>1.8</v>
      </c>
      <c r="AA25" s="17">
        <v>1.82</v>
      </c>
      <c r="AB25" s="17">
        <v>1.85</v>
      </c>
    </row>
    <row r="26" spans="2:28" ht="17.25" customHeight="1" x14ac:dyDescent="0.3">
      <c r="B26" s="6" t="s">
        <v>12</v>
      </c>
      <c r="C26" s="8">
        <v>5</v>
      </c>
      <c r="D26" s="8">
        <v>80</v>
      </c>
      <c r="E26" s="25">
        <v>16</v>
      </c>
      <c r="F26" s="8">
        <v>25</v>
      </c>
      <c r="G26" s="8">
        <v>500</v>
      </c>
      <c r="H26" s="8">
        <v>1.73</v>
      </c>
      <c r="I26" s="8">
        <v>1.76</v>
      </c>
      <c r="J26" s="8">
        <v>1.78</v>
      </c>
      <c r="K26" s="7" t="s">
        <v>9</v>
      </c>
      <c r="L26" s="10">
        <v>5</v>
      </c>
      <c r="M26" s="11">
        <v>11</v>
      </c>
      <c r="N26" s="10">
        <v>23</v>
      </c>
      <c r="O26" s="10">
        <f t="shared" si="8"/>
        <v>18</v>
      </c>
      <c r="P26" s="12">
        <f t="shared" si="9"/>
        <v>360</v>
      </c>
      <c r="Q26" s="13">
        <v>1.82</v>
      </c>
      <c r="R26" s="13">
        <v>1.97</v>
      </c>
      <c r="S26" s="13">
        <v>2.37</v>
      </c>
      <c r="T26" s="12">
        <v>72.7</v>
      </c>
      <c r="U26" s="14">
        <v>5</v>
      </c>
      <c r="V26" s="15">
        <v>10.199999999999999</v>
      </c>
      <c r="W26" s="14">
        <v>25</v>
      </c>
      <c r="X26" s="14">
        <f t="shared" si="10"/>
        <v>20</v>
      </c>
      <c r="Y26" s="16">
        <f t="shared" si="11"/>
        <v>400</v>
      </c>
      <c r="Z26" s="17">
        <v>1.41</v>
      </c>
      <c r="AA26" s="17">
        <v>1.57</v>
      </c>
      <c r="AB26" s="17">
        <v>1.7</v>
      </c>
    </row>
    <row r="27" spans="2:28" ht="17.25" customHeight="1" x14ac:dyDescent="0.3">
      <c r="B27" s="6" t="s">
        <v>22</v>
      </c>
      <c r="C27" s="8">
        <v>12</v>
      </c>
      <c r="D27" s="8">
        <v>83</v>
      </c>
      <c r="E27" s="25">
        <v>6.92</v>
      </c>
      <c r="F27" s="8">
        <v>19</v>
      </c>
      <c r="G27" s="8">
        <v>158.30000000000001</v>
      </c>
      <c r="H27" s="8">
        <v>1.7</v>
      </c>
      <c r="I27" s="8">
        <v>1.74</v>
      </c>
      <c r="J27" s="8">
        <v>1.79</v>
      </c>
      <c r="K27" s="7" t="s">
        <v>9</v>
      </c>
      <c r="L27" s="10">
        <v>20</v>
      </c>
      <c r="M27" s="11">
        <v>7.6</v>
      </c>
      <c r="N27" s="10">
        <v>55</v>
      </c>
      <c r="O27" s="10">
        <f t="shared" si="8"/>
        <v>35</v>
      </c>
      <c r="P27" s="12">
        <f t="shared" si="9"/>
        <v>175</v>
      </c>
      <c r="Q27" s="13">
        <v>1.76</v>
      </c>
      <c r="R27" s="13">
        <v>1.79</v>
      </c>
      <c r="S27" s="13">
        <v>1.92</v>
      </c>
      <c r="T27" s="12">
        <v>77</v>
      </c>
      <c r="U27" s="14">
        <v>20</v>
      </c>
      <c r="V27" s="15">
        <v>6.7</v>
      </c>
      <c r="W27" s="14">
        <v>42</v>
      </c>
      <c r="X27" s="14">
        <f t="shared" si="10"/>
        <v>22</v>
      </c>
      <c r="Y27" s="16">
        <f t="shared" si="11"/>
        <v>110.00000000000001</v>
      </c>
      <c r="Z27" s="17">
        <v>1.87</v>
      </c>
      <c r="AA27" s="17">
        <v>1.91</v>
      </c>
      <c r="AB27" s="17">
        <v>1.95</v>
      </c>
    </row>
    <row r="28" spans="2:28" ht="17.25" customHeight="1" x14ac:dyDescent="0.3">
      <c r="B28" s="6" t="s">
        <v>29</v>
      </c>
      <c r="C28" s="8">
        <v>12</v>
      </c>
      <c r="D28" s="8">
        <v>63</v>
      </c>
      <c r="E28" s="25">
        <v>5.25</v>
      </c>
      <c r="F28" s="8">
        <v>18</v>
      </c>
      <c r="G28" s="8">
        <v>150</v>
      </c>
      <c r="H28" s="8">
        <v>1.73</v>
      </c>
      <c r="I28" s="8">
        <v>1.75</v>
      </c>
      <c r="J28" s="8">
        <v>1.8</v>
      </c>
      <c r="K28" s="7" t="s">
        <v>9</v>
      </c>
      <c r="L28" s="10">
        <v>20</v>
      </c>
      <c r="M28" s="11">
        <v>8.8000000000000007</v>
      </c>
      <c r="N28" s="10">
        <v>44</v>
      </c>
      <c r="O28" s="10">
        <f t="shared" si="8"/>
        <v>24</v>
      </c>
      <c r="P28" s="12">
        <f t="shared" si="9"/>
        <v>120</v>
      </c>
      <c r="Q28" s="13">
        <v>1.75</v>
      </c>
      <c r="R28" s="13">
        <v>1.82</v>
      </c>
      <c r="S28" s="13">
        <v>1.94</v>
      </c>
      <c r="T28" s="12">
        <v>62.9</v>
      </c>
      <c r="U28" s="14">
        <v>20</v>
      </c>
      <c r="V28" s="15">
        <v>5.0999999999999996</v>
      </c>
      <c r="W28" s="14">
        <v>45</v>
      </c>
      <c r="X28" s="14">
        <f t="shared" si="10"/>
        <v>25</v>
      </c>
      <c r="Y28" s="16">
        <f t="shared" si="11"/>
        <v>125</v>
      </c>
      <c r="Z28" s="17">
        <v>1.78</v>
      </c>
      <c r="AA28" s="17">
        <v>1.86</v>
      </c>
      <c r="AB28" s="17">
        <v>1.97</v>
      </c>
    </row>
    <row r="29" spans="2:28" ht="17.25" customHeight="1" x14ac:dyDescent="0.3">
      <c r="B29" s="6" t="s">
        <v>50</v>
      </c>
      <c r="C29" s="8">
        <v>12</v>
      </c>
      <c r="D29" s="8">
        <v>86</v>
      </c>
      <c r="E29" s="25">
        <v>7.17</v>
      </c>
      <c r="F29" s="8">
        <v>11</v>
      </c>
      <c r="G29" s="8">
        <v>91.7</v>
      </c>
      <c r="H29" s="8">
        <v>1.73</v>
      </c>
      <c r="I29" s="8">
        <v>1.76</v>
      </c>
      <c r="J29" s="8">
        <v>1.8</v>
      </c>
      <c r="K29" s="7" t="s">
        <v>9</v>
      </c>
      <c r="L29" s="10">
        <v>10</v>
      </c>
      <c r="M29" s="11">
        <v>7.7</v>
      </c>
      <c r="N29" s="10">
        <v>22</v>
      </c>
      <c r="O29" s="10">
        <f t="shared" si="8"/>
        <v>12</v>
      </c>
      <c r="P29" s="12">
        <f t="shared" si="9"/>
        <v>120</v>
      </c>
      <c r="Q29" s="13">
        <v>1.77</v>
      </c>
      <c r="R29" s="13">
        <v>1.84</v>
      </c>
      <c r="S29" s="13">
        <v>1.94</v>
      </c>
      <c r="T29" s="12">
        <v>67.5</v>
      </c>
      <c r="U29" s="14">
        <v>10</v>
      </c>
      <c r="V29" s="15">
        <v>6.7</v>
      </c>
      <c r="W29" s="14">
        <v>19</v>
      </c>
      <c r="X29" s="14">
        <f t="shared" si="10"/>
        <v>9</v>
      </c>
      <c r="Y29" s="16">
        <f t="shared" si="11"/>
        <v>90</v>
      </c>
      <c r="Z29" s="17">
        <v>1.81</v>
      </c>
      <c r="AA29" s="17">
        <v>1.89</v>
      </c>
      <c r="AB29" s="17">
        <v>1.96</v>
      </c>
    </row>
    <row r="30" spans="2:28" ht="17.25" customHeight="1" x14ac:dyDescent="0.3">
      <c r="B30" s="6" t="s">
        <v>31</v>
      </c>
      <c r="C30" s="8">
        <v>5</v>
      </c>
      <c r="D30" s="8">
        <v>34</v>
      </c>
      <c r="E30" s="25">
        <v>6.8</v>
      </c>
      <c r="F30" s="8">
        <v>9</v>
      </c>
      <c r="G30" s="8">
        <v>180</v>
      </c>
      <c r="H30" s="8">
        <v>1.71</v>
      </c>
      <c r="I30" s="8">
        <v>1.72</v>
      </c>
      <c r="J30" s="8">
        <v>1.8</v>
      </c>
      <c r="K30" s="7" t="s">
        <v>9</v>
      </c>
      <c r="L30" s="10">
        <v>5</v>
      </c>
      <c r="M30" s="11">
        <v>6.6</v>
      </c>
      <c r="N30" s="10">
        <v>10</v>
      </c>
      <c r="O30" s="10">
        <f t="shared" si="8"/>
        <v>5</v>
      </c>
      <c r="P30" s="12">
        <f t="shared" si="9"/>
        <v>100</v>
      </c>
      <c r="Q30" s="13">
        <v>1.66</v>
      </c>
      <c r="R30" s="13">
        <v>1.86</v>
      </c>
      <c r="S30" s="13">
        <v>2.0299999999999998</v>
      </c>
      <c r="T30" s="12">
        <v>51.5</v>
      </c>
      <c r="U30" s="14">
        <v>5</v>
      </c>
      <c r="V30" s="15">
        <v>8</v>
      </c>
      <c r="W30" s="14">
        <v>12</v>
      </c>
      <c r="X30" s="14">
        <f t="shared" si="10"/>
        <v>7</v>
      </c>
      <c r="Y30" s="16">
        <f t="shared" si="11"/>
        <v>140</v>
      </c>
      <c r="Z30" s="17">
        <v>1.64</v>
      </c>
      <c r="AA30" s="17">
        <v>1.74</v>
      </c>
      <c r="AB30" s="17">
        <v>1.82</v>
      </c>
    </row>
    <row r="31" spans="2:28" ht="17.25" customHeight="1" x14ac:dyDescent="0.3">
      <c r="B31" s="6" t="s">
        <v>8</v>
      </c>
      <c r="C31" s="8">
        <v>17</v>
      </c>
      <c r="D31" s="8">
        <v>103</v>
      </c>
      <c r="E31" s="25">
        <v>6.06</v>
      </c>
      <c r="F31" s="8">
        <v>32</v>
      </c>
      <c r="G31" s="8">
        <v>188.2</v>
      </c>
      <c r="H31" s="8">
        <v>1.71</v>
      </c>
      <c r="I31" s="8">
        <v>1.74</v>
      </c>
      <c r="J31" s="8">
        <v>1.81</v>
      </c>
      <c r="K31" s="7" t="s">
        <v>9</v>
      </c>
      <c r="L31" s="10">
        <v>18</v>
      </c>
      <c r="M31" s="11">
        <v>8.6</v>
      </c>
      <c r="N31" s="10">
        <v>40</v>
      </c>
      <c r="O31" s="10">
        <f t="shared" si="8"/>
        <v>22</v>
      </c>
      <c r="P31" s="12">
        <f t="shared" si="9"/>
        <v>122.22222222222223</v>
      </c>
      <c r="Q31" s="13">
        <v>1.78</v>
      </c>
      <c r="R31" s="13">
        <v>1.79</v>
      </c>
      <c r="S31" s="13">
        <v>1.84</v>
      </c>
      <c r="T31" s="12">
        <v>56.1</v>
      </c>
      <c r="U31" s="14">
        <v>16</v>
      </c>
      <c r="V31" s="15">
        <v>14.9</v>
      </c>
      <c r="W31" s="14">
        <v>33</v>
      </c>
      <c r="X31" s="14">
        <f t="shared" si="10"/>
        <v>17</v>
      </c>
      <c r="Y31" s="16">
        <f t="shared" si="11"/>
        <v>106.25</v>
      </c>
      <c r="Z31" s="17">
        <v>1.75</v>
      </c>
      <c r="AA31" s="17">
        <v>1.8</v>
      </c>
      <c r="AB31" s="17">
        <v>1.84</v>
      </c>
    </row>
    <row r="32" spans="2:28" ht="17.25" customHeight="1" x14ac:dyDescent="0.3">
      <c r="B32" s="6" t="s">
        <v>32</v>
      </c>
      <c r="C32" s="8">
        <v>5</v>
      </c>
      <c r="D32" s="8">
        <v>34</v>
      </c>
      <c r="E32" s="25">
        <v>6.8</v>
      </c>
      <c r="F32" s="8">
        <v>9</v>
      </c>
      <c r="G32" s="8">
        <v>180</v>
      </c>
      <c r="H32" s="8">
        <v>1.74</v>
      </c>
      <c r="I32" s="8">
        <v>1.75</v>
      </c>
      <c r="J32" s="8">
        <v>1.83</v>
      </c>
      <c r="K32" s="7" t="s">
        <v>9</v>
      </c>
      <c r="L32" s="10">
        <v>5</v>
      </c>
      <c r="M32" s="11">
        <v>7.4</v>
      </c>
      <c r="N32" s="10">
        <v>10</v>
      </c>
      <c r="O32" s="10">
        <f t="shared" si="8"/>
        <v>5</v>
      </c>
      <c r="P32" s="12">
        <f t="shared" si="9"/>
        <v>100</v>
      </c>
      <c r="Q32" s="13">
        <v>1.78</v>
      </c>
      <c r="R32" s="13">
        <v>1.81</v>
      </c>
      <c r="S32" s="13">
        <v>1.86</v>
      </c>
      <c r="T32" s="12">
        <v>62.2</v>
      </c>
      <c r="U32" s="14">
        <v>5</v>
      </c>
      <c r="V32" s="15">
        <v>12.4</v>
      </c>
      <c r="W32" s="14">
        <v>10</v>
      </c>
      <c r="X32" s="14">
        <f t="shared" si="10"/>
        <v>5</v>
      </c>
      <c r="Y32" s="16">
        <f t="shared" si="11"/>
        <v>100</v>
      </c>
      <c r="Z32" s="17">
        <v>1.81</v>
      </c>
      <c r="AA32" s="17">
        <v>1.87</v>
      </c>
      <c r="AB32" s="17">
        <v>1.93</v>
      </c>
    </row>
    <row r="33" spans="2:28" ht="17.25" customHeight="1" x14ac:dyDescent="0.3">
      <c r="B33" s="6" t="s">
        <v>41</v>
      </c>
      <c r="C33" s="8">
        <v>12</v>
      </c>
      <c r="D33" s="8">
        <v>92</v>
      </c>
      <c r="E33" s="25">
        <v>7.67</v>
      </c>
      <c r="F33" s="8">
        <v>7</v>
      </c>
      <c r="G33" s="8">
        <v>58.3</v>
      </c>
      <c r="H33" s="8">
        <v>1.77</v>
      </c>
      <c r="I33" s="8">
        <v>1.78</v>
      </c>
      <c r="J33" s="8">
        <v>1.84</v>
      </c>
      <c r="K33" s="7" t="s">
        <v>9</v>
      </c>
      <c r="L33" s="10">
        <v>20</v>
      </c>
      <c r="M33" s="11">
        <v>8.4</v>
      </c>
      <c r="N33" s="10">
        <v>34</v>
      </c>
      <c r="O33" s="10">
        <f t="shared" si="8"/>
        <v>14</v>
      </c>
      <c r="P33" s="12">
        <f t="shared" si="9"/>
        <v>70</v>
      </c>
      <c r="Q33" s="13">
        <v>1.87</v>
      </c>
      <c r="R33" s="13">
        <v>1.87</v>
      </c>
      <c r="S33" s="13">
        <v>2.0099999999999998</v>
      </c>
      <c r="T33" s="12">
        <v>65.900000000000006</v>
      </c>
      <c r="U33" s="14">
        <v>20</v>
      </c>
      <c r="V33" s="15">
        <v>6.8</v>
      </c>
      <c r="W33" s="14">
        <v>36</v>
      </c>
      <c r="X33" s="14">
        <f t="shared" si="10"/>
        <v>16</v>
      </c>
      <c r="Y33" s="16">
        <f t="shared" si="11"/>
        <v>80</v>
      </c>
      <c r="Z33" s="17">
        <v>1.93</v>
      </c>
      <c r="AA33" s="17">
        <v>1.97</v>
      </c>
      <c r="AB33" s="17">
        <v>2.0499999999999998</v>
      </c>
    </row>
    <row r="34" spans="2:28" ht="17.25" customHeight="1" x14ac:dyDescent="0.3">
      <c r="B34" s="6" t="s">
        <v>26</v>
      </c>
      <c r="C34" s="8">
        <v>7</v>
      </c>
      <c r="D34" s="8">
        <v>45</v>
      </c>
      <c r="E34" s="25">
        <v>6.43</v>
      </c>
      <c r="F34" s="8">
        <v>17</v>
      </c>
      <c r="G34" s="8">
        <v>242.9</v>
      </c>
      <c r="H34" s="8">
        <v>1.62</v>
      </c>
      <c r="I34" s="8">
        <v>1.72</v>
      </c>
      <c r="J34" s="8">
        <v>1.84</v>
      </c>
      <c r="K34" s="7" t="s">
        <v>9</v>
      </c>
      <c r="L34" s="10">
        <v>7</v>
      </c>
      <c r="M34" s="11">
        <v>9</v>
      </c>
      <c r="N34" s="10">
        <v>13</v>
      </c>
      <c r="O34" s="10">
        <f t="shared" si="8"/>
        <v>6</v>
      </c>
      <c r="P34" s="12">
        <f t="shared" si="9"/>
        <v>85.714285714285708</v>
      </c>
      <c r="Q34" s="13">
        <v>1.58</v>
      </c>
      <c r="R34" s="13">
        <v>1.6</v>
      </c>
      <c r="S34" s="13">
        <v>1.67</v>
      </c>
      <c r="T34" s="12">
        <v>63.5</v>
      </c>
      <c r="U34" s="14">
        <v>7</v>
      </c>
      <c r="V34" s="15">
        <v>19.399999999999999</v>
      </c>
      <c r="W34" s="14">
        <v>18</v>
      </c>
      <c r="X34" s="14">
        <f t="shared" si="10"/>
        <v>11</v>
      </c>
      <c r="Y34" s="16">
        <f t="shared" si="11"/>
        <v>157.14285714285714</v>
      </c>
      <c r="Z34" s="17">
        <v>1.61</v>
      </c>
      <c r="AA34" s="17">
        <v>1.68</v>
      </c>
      <c r="AB34" s="17">
        <v>1.7</v>
      </c>
    </row>
    <row r="35" spans="2:28" ht="17.25" customHeight="1" x14ac:dyDescent="0.3">
      <c r="B35" s="6" t="s">
        <v>13</v>
      </c>
      <c r="C35" s="8">
        <v>12</v>
      </c>
      <c r="D35" s="8">
        <v>66</v>
      </c>
      <c r="E35" s="25">
        <v>5.5</v>
      </c>
      <c r="F35" s="8">
        <v>25</v>
      </c>
      <c r="G35" s="8">
        <v>208.3</v>
      </c>
      <c r="H35" s="8">
        <v>1.69</v>
      </c>
      <c r="I35" s="8">
        <v>1.77</v>
      </c>
      <c r="J35" s="8">
        <v>1.86</v>
      </c>
      <c r="K35" s="7" t="s">
        <v>9</v>
      </c>
      <c r="L35" s="10">
        <v>12</v>
      </c>
      <c r="M35" s="11">
        <v>7.3</v>
      </c>
      <c r="N35" s="10">
        <v>35</v>
      </c>
      <c r="O35" s="10">
        <f t="shared" si="8"/>
        <v>23</v>
      </c>
      <c r="P35" s="12">
        <f t="shared" si="9"/>
        <v>191.66666666666669</v>
      </c>
      <c r="Q35" s="13">
        <v>1.67</v>
      </c>
      <c r="R35" s="13">
        <v>1.7</v>
      </c>
      <c r="S35" s="13">
        <v>1.83</v>
      </c>
      <c r="T35" s="12">
        <v>81.8</v>
      </c>
      <c r="U35" s="14">
        <v>12</v>
      </c>
      <c r="V35" s="15">
        <v>7.3</v>
      </c>
      <c r="W35" s="14">
        <v>28</v>
      </c>
      <c r="X35" s="14">
        <f t="shared" si="10"/>
        <v>16</v>
      </c>
      <c r="Y35" s="16">
        <f t="shared" si="11"/>
        <v>133.33333333333331</v>
      </c>
      <c r="Z35" s="17">
        <v>1.79</v>
      </c>
      <c r="AA35" s="17">
        <v>1.8</v>
      </c>
      <c r="AB35" s="17">
        <v>1.86</v>
      </c>
    </row>
    <row r="36" spans="2:28" ht="17.25" customHeight="1" x14ac:dyDescent="0.3">
      <c r="B36" s="6" t="s">
        <v>27</v>
      </c>
      <c r="C36" s="8">
        <v>5</v>
      </c>
      <c r="D36" s="8">
        <v>59</v>
      </c>
      <c r="E36" s="25">
        <v>11.8</v>
      </c>
      <c r="F36" s="8">
        <v>21</v>
      </c>
      <c r="G36" s="8">
        <v>420</v>
      </c>
      <c r="H36" s="8">
        <v>1.67</v>
      </c>
      <c r="I36" s="8">
        <v>1.72</v>
      </c>
      <c r="J36" s="8">
        <v>1.86</v>
      </c>
      <c r="K36" s="7" t="s">
        <v>9</v>
      </c>
      <c r="L36" s="10">
        <v>5</v>
      </c>
      <c r="M36" s="11">
        <v>6</v>
      </c>
      <c r="N36" s="10">
        <v>16</v>
      </c>
      <c r="O36" s="10">
        <f t="shared" si="8"/>
        <v>11</v>
      </c>
      <c r="P36" s="12">
        <f t="shared" si="9"/>
        <v>220.00000000000003</v>
      </c>
      <c r="Q36" s="13">
        <v>1.65</v>
      </c>
      <c r="R36" s="13">
        <v>1.74</v>
      </c>
      <c r="S36" s="13">
        <v>2.4</v>
      </c>
      <c r="T36" s="12">
        <v>60</v>
      </c>
      <c r="U36" s="14">
        <v>5</v>
      </c>
      <c r="V36" s="15">
        <v>8</v>
      </c>
      <c r="W36" s="14">
        <v>18</v>
      </c>
      <c r="X36" s="14">
        <f t="shared" si="10"/>
        <v>13</v>
      </c>
      <c r="Y36" s="16">
        <f t="shared" si="11"/>
        <v>260</v>
      </c>
      <c r="Z36" s="17">
        <v>1.44</v>
      </c>
      <c r="AA36" s="17">
        <v>1.55</v>
      </c>
      <c r="AB36" s="17">
        <v>1.71</v>
      </c>
    </row>
    <row r="37" spans="2:28" ht="17.25" customHeight="1" x14ac:dyDescent="0.3">
      <c r="B37" s="6" t="s">
        <v>20</v>
      </c>
      <c r="C37" s="8">
        <v>12</v>
      </c>
      <c r="D37" s="8">
        <v>65</v>
      </c>
      <c r="E37" s="25">
        <v>5.42</v>
      </c>
      <c r="F37" s="8">
        <v>24</v>
      </c>
      <c r="G37" s="8">
        <v>200</v>
      </c>
      <c r="H37" s="8">
        <v>1.85</v>
      </c>
      <c r="I37" s="8">
        <v>1.9</v>
      </c>
      <c r="J37" s="8">
        <v>2</v>
      </c>
      <c r="K37" s="7" t="s">
        <v>9</v>
      </c>
      <c r="L37" s="10">
        <v>12</v>
      </c>
      <c r="M37" s="11">
        <v>6.8</v>
      </c>
      <c r="N37" s="10">
        <v>33</v>
      </c>
      <c r="O37" s="10">
        <f t="shared" si="8"/>
        <v>21</v>
      </c>
      <c r="P37" s="12">
        <f t="shared" si="9"/>
        <v>175</v>
      </c>
      <c r="Q37" s="13">
        <v>1.66</v>
      </c>
      <c r="R37" s="13">
        <v>1.72</v>
      </c>
      <c r="S37" s="13">
        <v>1.86</v>
      </c>
      <c r="T37" s="12">
        <v>76.5</v>
      </c>
      <c r="U37" s="14">
        <v>12</v>
      </c>
      <c r="V37" s="15">
        <v>5.0999999999999996</v>
      </c>
      <c r="W37" s="14">
        <v>40</v>
      </c>
      <c r="X37" s="14">
        <f t="shared" si="10"/>
        <v>28</v>
      </c>
      <c r="Y37" s="16">
        <f t="shared" si="11"/>
        <v>233.33333333333334</v>
      </c>
      <c r="Z37" s="17">
        <v>1.84</v>
      </c>
      <c r="AA37" s="17">
        <v>1.93</v>
      </c>
      <c r="AB37" s="17">
        <v>2.14</v>
      </c>
    </row>
    <row r="38" spans="2:28" ht="17.25" customHeight="1" x14ac:dyDescent="0.3">
      <c r="B38" s="6" t="s">
        <v>10</v>
      </c>
      <c r="C38" s="8">
        <v>12</v>
      </c>
      <c r="D38" s="8">
        <v>105</v>
      </c>
      <c r="E38" s="25">
        <v>8.75</v>
      </c>
      <c r="F38" s="8">
        <v>66</v>
      </c>
      <c r="G38" s="8">
        <v>550</v>
      </c>
      <c r="H38" s="8">
        <v>1.54</v>
      </c>
      <c r="I38" s="8">
        <v>1.74</v>
      </c>
      <c r="J38" s="8">
        <v>2.0099999999999998</v>
      </c>
      <c r="K38" s="7" t="s">
        <v>9</v>
      </c>
      <c r="L38" s="10">
        <v>10</v>
      </c>
      <c r="M38" s="11">
        <v>12.5</v>
      </c>
      <c r="N38" s="10">
        <v>80</v>
      </c>
      <c r="O38" s="10">
        <f t="shared" si="8"/>
        <v>70</v>
      </c>
      <c r="P38" s="12">
        <f t="shared" si="9"/>
        <v>700</v>
      </c>
      <c r="Q38" s="13">
        <v>1.41</v>
      </c>
      <c r="R38" s="13">
        <v>1.48</v>
      </c>
      <c r="S38" s="13">
        <v>1.66</v>
      </c>
      <c r="T38" s="12">
        <v>79.2</v>
      </c>
      <c r="U38" s="14">
        <v>10</v>
      </c>
      <c r="V38" s="15">
        <v>7</v>
      </c>
      <c r="W38" s="14">
        <v>48</v>
      </c>
      <c r="X38" s="14">
        <f t="shared" si="10"/>
        <v>38</v>
      </c>
      <c r="Y38" s="16">
        <f t="shared" si="11"/>
        <v>380</v>
      </c>
      <c r="Z38" s="17">
        <v>1.38</v>
      </c>
      <c r="AA38" s="17">
        <v>1.44</v>
      </c>
      <c r="AB38" s="17">
        <v>1.58</v>
      </c>
    </row>
    <row r="39" spans="2:28" ht="17.25" customHeight="1" x14ac:dyDescent="0.3">
      <c r="B39" s="6" t="s">
        <v>23</v>
      </c>
      <c r="C39" s="8">
        <v>12</v>
      </c>
      <c r="D39" s="8">
        <v>77</v>
      </c>
      <c r="E39" s="25">
        <v>6.42</v>
      </c>
      <c r="F39" s="8">
        <v>18</v>
      </c>
      <c r="G39" s="8">
        <v>150</v>
      </c>
      <c r="H39" s="8">
        <v>1.67</v>
      </c>
      <c r="I39" s="8">
        <v>1.73</v>
      </c>
      <c r="J39" s="8">
        <v>2.06</v>
      </c>
      <c r="K39" s="7" t="s">
        <v>9</v>
      </c>
      <c r="L39" s="10">
        <v>20</v>
      </c>
      <c r="M39" s="11">
        <v>9</v>
      </c>
      <c r="N39" s="10">
        <v>74</v>
      </c>
      <c r="O39" s="10">
        <f t="shared" si="8"/>
        <v>54</v>
      </c>
      <c r="P39" s="12">
        <f t="shared" si="9"/>
        <v>270</v>
      </c>
      <c r="Q39" s="13">
        <v>1.58</v>
      </c>
      <c r="R39" s="13">
        <v>1.66</v>
      </c>
      <c r="S39" s="13">
        <v>1.84</v>
      </c>
      <c r="T39" s="12">
        <v>71.7</v>
      </c>
      <c r="U39" s="14">
        <v>21</v>
      </c>
      <c r="V39" s="15">
        <v>6.3</v>
      </c>
      <c r="W39" s="14">
        <v>74</v>
      </c>
      <c r="X39" s="14">
        <f t="shared" si="10"/>
        <v>53</v>
      </c>
      <c r="Y39" s="16">
        <f t="shared" si="11"/>
        <v>252.38095238095238</v>
      </c>
      <c r="Z39" s="17">
        <v>1.58</v>
      </c>
      <c r="AA39" s="17">
        <v>1.65</v>
      </c>
      <c r="AB39" s="17">
        <v>1.85</v>
      </c>
    </row>
    <row r="40" spans="2:28" ht="17.25" customHeight="1" x14ac:dyDescent="0.3">
      <c r="B40" s="6" t="s">
        <v>25</v>
      </c>
      <c r="C40" s="8">
        <v>10</v>
      </c>
      <c r="D40" s="8">
        <v>87</v>
      </c>
      <c r="E40" s="25">
        <v>8.6999999999999993</v>
      </c>
      <c r="F40" s="8">
        <v>39</v>
      </c>
      <c r="G40" s="8">
        <v>390</v>
      </c>
      <c r="H40" s="8">
        <v>1.55</v>
      </c>
      <c r="I40" s="8">
        <v>1.6</v>
      </c>
      <c r="J40" s="8">
        <v>2.19</v>
      </c>
      <c r="K40" s="3" t="s">
        <v>15</v>
      </c>
      <c r="L40" s="10">
        <v>10</v>
      </c>
      <c r="M40" s="11">
        <v>13.1</v>
      </c>
      <c r="N40" s="10">
        <v>51</v>
      </c>
      <c r="O40" s="10">
        <f t="shared" si="8"/>
        <v>41</v>
      </c>
      <c r="P40" s="12">
        <f t="shared" si="9"/>
        <v>409.99999999999994</v>
      </c>
      <c r="Q40" s="13">
        <v>1.51</v>
      </c>
      <c r="R40" s="13">
        <v>1.55</v>
      </c>
      <c r="S40" s="13">
        <v>1.58</v>
      </c>
      <c r="T40" s="12">
        <v>59.5</v>
      </c>
      <c r="U40" s="14">
        <v>10</v>
      </c>
      <c r="V40" s="15">
        <v>12.2</v>
      </c>
      <c r="W40" s="14">
        <v>65</v>
      </c>
      <c r="X40" s="14">
        <f t="shared" si="10"/>
        <v>55</v>
      </c>
      <c r="Y40" s="16">
        <f t="shared" si="11"/>
        <v>550</v>
      </c>
      <c r="Z40" s="17">
        <v>1.53</v>
      </c>
      <c r="AA40" s="17">
        <v>1.55</v>
      </c>
      <c r="AB40" s="17">
        <v>1.65</v>
      </c>
    </row>
    <row r="41" spans="2:28" ht="17.25" customHeight="1" x14ac:dyDescent="0.3">
      <c r="B41" s="6" t="s">
        <v>49</v>
      </c>
      <c r="C41" s="8">
        <v>5</v>
      </c>
      <c r="D41" s="8">
        <v>74</v>
      </c>
      <c r="E41" s="25">
        <v>14.8</v>
      </c>
      <c r="F41" s="8">
        <v>13</v>
      </c>
      <c r="G41" s="8">
        <v>260</v>
      </c>
      <c r="H41" s="8">
        <v>1.35</v>
      </c>
      <c r="I41" s="8">
        <v>1.36</v>
      </c>
      <c r="J41" s="8"/>
      <c r="K41" s="3" t="s">
        <v>15</v>
      </c>
      <c r="L41" s="18"/>
      <c r="M41" s="19"/>
      <c r="N41" s="18"/>
      <c r="O41" s="18"/>
      <c r="P41" s="18"/>
      <c r="Q41" s="18"/>
      <c r="R41" s="18"/>
      <c r="S41" s="18"/>
      <c r="T41" s="18"/>
      <c r="U41" s="20"/>
      <c r="V41" s="21"/>
      <c r="W41" s="20"/>
      <c r="X41" s="20"/>
      <c r="Y41" s="20"/>
      <c r="Z41" s="20"/>
      <c r="AA41" s="20"/>
      <c r="AB41" s="20"/>
    </row>
  </sheetData>
  <autoFilter ref="B3:AB3" xr:uid="{00000000-0001-0000-0100-000000000000}">
    <sortState xmlns:xlrd2="http://schemas.microsoft.com/office/spreadsheetml/2017/richdata2" ref="B4:AB41">
      <sortCondition ref="J3"/>
    </sortState>
  </autoFilter>
  <mergeCells count="4">
    <mergeCell ref="B1:AB1"/>
    <mergeCell ref="C2:K2"/>
    <mergeCell ref="L2:T2"/>
    <mergeCell ref="U2:AB2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40"/>
  <sheetViews>
    <sheetView zoomScale="55" zoomScaleNormal="55" workbookViewId="0">
      <selection activeCell="AR16" sqref="AR16"/>
    </sheetView>
  </sheetViews>
  <sheetFormatPr defaultRowHeight="17.25" customHeight="1" x14ac:dyDescent="0.3"/>
  <cols>
    <col min="1" max="1" width="2.75" style="1" customWidth="1"/>
    <col min="2" max="2" width="26.375" style="1" customWidth="1"/>
    <col min="3" max="5" width="8.5" style="1" customWidth="1"/>
    <col min="6" max="6" width="9" style="1" customWidth="1"/>
    <col min="7" max="7" width="26.375" style="1" customWidth="1"/>
    <col min="8" max="8" width="9" style="1" customWidth="1"/>
    <col min="9" max="16384" width="9" style="1"/>
  </cols>
  <sheetData>
    <row r="1" spans="2:10" ht="15" customHeight="1" x14ac:dyDescent="0.3">
      <c r="B1" s="1" t="s">
        <v>43</v>
      </c>
      <c r="G1" s="1" t="s">
        <v>43</v>
      </c>
    </row>
    <row r="2" spans="2:10" ht="17.25" customHeight="1" x14ac:dyDescent="0.3">
      <c r="B2" s="2" t="s">
        <v>0</v>
      </c>
      <c r="C2" s="2" t="s">
        <v>5</v>
      </c>
      <c r="D2" s="2" t="s">
        <v>6</v>
      </c>
      <c r="E2" s="2" t="s">
        <v>7</v>
      </c>
      <c r="G2" s="2" t="s">
        <v>0</v>
      </c>
      <c r="H2" s="23">
        <v>0.5</v>
      </c>
      <c r="I2" s="23">
        <v>0.7</v>
      </c>
      <c r="J2" s="23">
        <v>1</v>
      </c>
    </row>
    <row r="3" spans="2:10" ht="17.25" customHeight="1" x14ac:dyDescent="0.3">
      <c r="B3" s="2" t="s">
        <v>36</v>
      </c>
      <c r="C3" s="2">
        <v>1.38</v>
      </c>
      <c r="D3" s="2">
        <v>1.39</v>
      </c>
      <c r="E3" s="2">
        <v>1.41</v>
      </c>
      <c r="G3" s="2" t="s">
        <v>36</v>
      </c>
      <c r="H3" s="2">
        <v>1.38</v>
      </c>
      <c r="I3" s="1">
        <f t="shared" ref="I3:I40" si="0">D3-H3</f>
        <v>1.0000000000000009E-2</v>
      </c>
      <c r="J3" s="1">
        <f t="shared" ref="J3:J39" si="1">E3-D3</f>
        <v>2.0000000000000018E-2</v>
      </c>
    </row>
    <row r="4" spans="2:10" ht="17.25" customHeight="1" x14ac:dyDescent="0.3">
      <c r="B4" s="2" t="s">
        <v>24</v>
      </c>
      <c r="C4" s="2">
        <v>1.41</v>
      </c>
      <c r="D4" s="2">
        <v>1.44</v>
      </c>
      <c r="E4" s="2">
        <v>1.5</v>
      </c>
      <c r="G4" s="2" t="s">
        <v>24</v>
      </c>
      <c r="H4" s="2">
        <v>1.41</v>
      </c>
      <c r="I4" s="1">
        <f t="shared" si="0"/>
        <v>3.0000000000000027E-2</v>
      </c>
      <c r="J4" s="1">
        <f t="shared" si="1"/>
        <v>6.0000000000000053E-2</v>
      </c>
    </row>
    <row r="5" spans="2:10" ht="17.25" customHeight="1" x14ac:dyDescent="0.3">
      <c r="B5" s="2" t="s">
        <v>34</v>
      </c>
      <c r="C5" s="2">
        <v>1.38</v>
      </c>
      <c r="D5" s="2">
        <v>1.44</v>
      </c>
      <c r="E5" s="2">
        <v>1.5</v>
      </c>
      <c r="G5" s="2" t="s">
        <v>34</v>
      </c>
      <c r="H5" s="2">
        <v>1.38</v>
      </c>
      <c r="I5" s="1">
        <f t="shared" si="0"/>
        <v>6.0000000000000053E-2</v>
      </c>
      <c r="J5" s="1">
        <f t="shared" si="1"/>
        <v>6.0000000000000053E-2</v>
      </c>
    </row>
    <row r="6" spans="2:10" ht="17.25" customHeight="1" x14ac:dyDescent="0.3">
      <c r="B6" s="2" t="s">
        <v>11</v>
      </c>
      <c r="C6" s="2">
        <v>1.47</v>
      </c>
      <c r="D6" s="2">
        <v>1.48</v>
      </c>
      <c r="E6" s="2">
        <v>1.53</v>
      </c>
      <c r="G6" s="2" t="s">
        <v>11</v>
      </c>
      <c r="H6" s="2">
        <v>1.47</v>
      </c>
      <c r="I6" s="1">
        <f t="shared" si="0"/>
        <v>1.0000000000000009E-2</v>
      </c>
      <c r="J6" s="1">
        <f t="shared" si="1"/>
        <v>5.0000000000000044E-2</v>
      </c>
    </row>
    <row r="7" spans="2:10" ht="17.25" customHeight="1" x14ac:dyDescent="0.3">
      <c r="B7" s="2" t="s">
        <v>47</v>
      </c>
      <c r="C7" s="2">
        <v>1.47</v>
      </c>
      <c r="D7" s="2">
        <v>1.5</v>
      </c>
      <c r="E7" s="2">
        <v>1.53</v>
      </c>
      <c r="G7" s="2" t="s">
        <v>47</v>
      </c>
      <c r="H7" s="2">
        <v>1.47</v>
      </c>
      <c r="I7" s="1">
        <f t="shared" si="0"/>
        <v>3.0000000000000027E-2</v>
      </c>
      <c r="J7" s="1">
        <f t="shared" si="1"/>
        <v>3.0000000000000027E-2</v>
      </c>
    </row>
    <row r="8" spans="2:10" ht="17.25" customHeight="1" x14ac:dyDescent="0.3">
      <c r="B8" s="2" t="s">
        <v>42</v>
      </c>
      <c r="C8" s="2">
        <v>1.45</v>
      </c>
      <c r="D8" s="2">
        <v>1.49</v>
      </c>
      <c r="E8" s="2">
        <v>1.55</v>
      </c>
      <c r="G8" s="2" t="s">
        <v>42</v>
      </c>
      <c r="H8" s="2">
        <v>1.45</v>
      </c>
      <c r="I8" s="1">
        <f t="shared" si="0"/>
        <v>4.0000000000000036E-2</v>
      </c>
      <c r="J8" s="1">
        <f t="shared" si="1"/>
        <v>6.0000000000000053E-2</v>
      </c>
    </row>
    <row r="9" spans="2:10" ht="17.25" customHeight="1" x14ac:dyDescent="0.3">
      <c r="B9" s="2" t="s">
        <v>48</v>
      </c>
      <c r="C9" s="2">
        <v>1.48</v>
      </c>
      <c r="D9" s="2">
        <v>1.51</v>
      </c>
      <c r="E9" s="2">
        <v>1.56</v>
      </c>
      <c r="G9" s="2" t="s">
        <v>48</v>
      </c>
      <c r="H9" s="2">
        <v>1.48</v>
      </c>
      <c r="I9" s="1">
        <f t="shared" si="0"/>
        <v>3.0000000000000027E-2</v>
      </c>
      <c r="J9" s="1">
        <f t="shared" si="1"/>
        <v>5.0000000000000044E-2</v>
      </c>
    </row>
    <row r="10" spans="2:10" ht="17.25" customHeight="1" x14ac:dyDescent="0.3">
      <c r="B10" s="2" t="s">
        <v>19</v>
      </c>
      <c r="C10" s="2">
        <v>1.49</v>
      </c>
      <c r="D10" s="2">
        <v>1.52</v>
      </c>
      <c r="E10" s="2">
        <v>1.56</v>
      </c>
      <c r="G10" s="2" t="s">
        <v>19</v>
      </c>
      <c r="H10" s="2">
        <v>1.49</v>
      </c>
      <c r="I10" s="1">
        <f t="shared" si="0"/>
        <v>3.0000000000000027E-2</v>
      </c>
      <c r="J10" s="1">
        <f t="shared" si="1"/>
        <v>4.0000000000000036E-2</v>
      </c>
    </row>
    <row r="11" spans="2:10" ht="17.25" customHeight="1" x14ac:dyDescent="0.3">
      <c r="B11" s="2" t="s">
        <v>35</v>
      </c>
      <c r="C11" s="2">
        <v>1.5</v>
      </c>
      <c r="D11" s="2">
        <v>1.51</v>
      </c>
      <c r="E11" s="2">
        <v>1.57</v>
      </c>
      <c r="G11" s="2" t="s">
        <v>35</v>
      </c>
      <c r="H11" s="2">
        <v>1.5</v>
      </c>
      <c r="I11" s="1">
        <f t="shared" si="0"/>
        <v>1.0000000000000009E-2</v>
      </c>
      <c r="J11" s="1">
        <f t="shared" si="1"/>
        <v>6.0000000000000053E-2</v>
      </c>
    </row>
    <row r="12" spans="2:10" ht="17.25" customHeight="1" x14ac:dyDescent="0.3">
      <c r="B12" s="2" t="s">
        <v>39</v>
      </c>
      <c r="C12" s="2">
        <v>1.56</v>
      </c>
      <c r="D12" s="2">
        <v>1.58</v>
      </c>
      <c r="E12" s="2">
        <v>1.59</v>
      </c>
      <c r="G12" s="2" t="s">
        <v>39</v>
      </c>
      <c r="H12" s="2">
        <v>1.56</v>
      </c>
      <c r="I12" s="1">
        <f t="shared" si="0"/>
        <v>2.0000000000000018E-2</v>
      </c>
      <c r="J12" s="1">
        <f t="shared" si="1"/>
        <v>1.0000000000000009E-2</v>
      </c>
    </row>
    <row r="13" spans="2:10" ht="17.25" customHeight="1" x14ac:dyDescent="0.3">
      <c r="B13" s="2" t="s">
        <v>21</v>
      </c>
      <c r="C13" s="2">
        <v>1.54</v>
      </c>
      <c r="D13" s="2">
        <v>1.58</v>
      </c>
      <c r="E13" s="2">
        <v>1.65</v>
      </c>
      <c r="G13" s="2" t="s">
        <v>21</v>
      </c>
      <c r="H13" s="2">
        <v>1.54</v>
      </c>
      <c r="I13" s="1">
        <f t="shared" si="0"/>
        <v>4.0000000000000036E-2</v>
      </c>
      <c r="J13" s="1">
        <f t="shared" si="1"/>
        <v>6.999999999999984E-2</v>
      </c>
    </row>
    <row r="14" spans="2:10" ht="17.25" customHeight="1" x14ac:dyDescent="0.3">
      <c r="B14" s="2" t="s">
        <v>30</v>
      </c>
      <c r="C14" s="2">
        <v>1.58</v>
      </c>
      <c r="D14" s="2">
        <v>1.58</v>
      </c>
      <c r="E14" s="2">
        <v>1.65</v>
      </c>
      <c r="G14" s="2" t="s">
        <v>30</v>
      </c>
      <c r="H14" s="2">
        <v>1.58</v>
      </c>
      <c r="I14" s="1">
        <f t="shared" si="0"/>
        <v>0</v>
      </c>
      <c r="J14" s="1">
        <f t="shared" si="1"/>
        <v>6.999999999999984E-2</v>
      </c>
    </row>
    <row r="15" spans="2:10" ht="17.25" customHeight="1" x14ac:dyDescent="0.3">
      <c r="B15" s="2" t="s">
        <v>38</v>
      </c>
      <c r="C15" s="2">
        <v>1.61</v>
      </c>
      <c r="D15" s="2">
        <v>1.63</v>
      </c>
      <c r="E15" s="2">
        <v>1.68</v>
      </c>
      <c r="G15" s="2" t="s">
        <v>38</v>
      </c>
      <c r="H15" s="2">
        <v>1.61</v>
      </c>
      <c r="I15" s="1">
        <f t="shared" si="0"/>
        <v>1.9999999999999796E-2</v>
      </c>
      <c r="J15" s="1">
        <f t="shared" si="1"/>
        <v>5.0000000000000044E-2</v>
      </c>
    </row>
    <row r="16" spans="2:10" ht="17.25" customHeight="1" x14ac:dyDescent="0.3">
      <c r="B16" s="2" t="s">
        <v>17</v>
      </c>
      <c r="C16" s="2">
        <v>1.6</v>
      </c>
      <c r="D16" s="2">
        <v>1.62</v>
      </c>
      <c r="E16" s="2">
        <v>1.71</v>
      </c>
      <c r="G16" s="2" t="s">
        <v>17</v>
      </c>
      <c r="H16" s="2">
        <v>1.6</v>
      </c>
      <c r="I16" s="1">
        <f t="shared" si="0"/>
        <v>2.0000000000000018E-2</v>
      </c>
      <c r="J16" s="1">
        <f t="shared" si="1"/>
        <v>8.9999999999999858E-2</v>
      </c>
    </row>
    <row r="17" spans="2:10" ht="17.25" customHeight="1" x14ac:dyDescent="0.3">
      <c r="B17" s="2" t="s">
        <v>16</v>
      </c>
      <c r="C17" s="2">
        <v>1.6</v>
      </c>
      <c r="D17" s="2">
        <v>1.62</v>
      </c>
      <c r="E17" s="2">
        <v>1.72</v>
      </c>
      <c r="G17" s="2" t="s">
        <v>16</v>
      </c>
      <c r="H17" s="2">
        <v>1.6</v>
      </c>
      <c r="I17" s="1">
        <f t="shared" si="0"/>
        <v>2.0000000000000018E-2</v>
      </c>
      <c r="J17" s="1">
        <f t="shared" si="1"/>
        <v>9.9999999999999867E-2</v>
      </c>
    </row>
    <row r="18" spans="2:10" ht="17.25" customHeight="1" x14ac:dyDescent="0.3">
      <c r="B18" s="2" t="s">
        <v>18</v>
      </c>
      <c r="C18" s="2">
        <v>1.65</v>
      </c>
      <c r="D18" s="2">
        <v>1.66</v>
      </c>
      <c r="E18" s="2">
        <v>1.72</v>
      </c>
      <c r="G18" s="2" t="s">
        <v>18</v>
      </c>
      <c r="H18" s="2">
        <v>1.65</v>
      </c>
      <c r="I18" s="1">
        <f t="shared" si="0"/>
        <v>1.0000000000000009E-2</v>
      </c>
      <c r="J18" s="1">
        <f t="shared" si="1"/>
        <v>6.0000000000000053E-2</v>
      </c>
    </row>
    <row r="19" spans="2:10" ht="17.25" customHeight="1" x14ac:dyDescent="0.3">
      <c r="B19" s="2" t="s">
        <v>14</v>
      </c>
      <c r="C19" s="2">
        <v>1.54</v>
      </c>
      <c r="D19" s="2">
        <v>1.61</v>
      </c>
      <c r="E19" s="2">
        <v>1.73</v>
      </c>
      <c r="G19" s="2" t="s">
        <v>14</v>
      </c>
      <c r="H19" s="2">
        <v>1.54</v>
      </c>
      <c r="I19" s="1">
        <f t="shared" si="0"/>
        <v>7.0000000000000062E-2</v>
      </c>
      <c r="J19" s="1">
        <f t="shared" si="1"/>
        <v>0.11999999999999988</v>
      </c>
    </row>
    <row r="20" spans="2:10" ht="17.25" customHeight="1" x14ac:dyDescent="0.3">
      <c r="B20" s="2" t="s">
        <v>28</v>
      </c>
      <c r="C20" s="2">
        <v>1.59</v>
      </c>
      <c r="D20" s="2">
        <v>1.62</v>
      </c>
      <c r="E20" s="2">
        <v>1.73</v>
      </c>
      <c r="G20" s="2" t="s">
        <v>28</v>
      </c>
      <c r="H20" s="2">
        <v>1.59</v>
      </c>
      <c r="I20" s="1">
        <f t="shared" si="0"/>
        <v>3.0000000000000027E-2</v>
      </c>
      <c r="J20" s="1">
        <f t="shared" si="1"/>
        <v>0.10999999999999988</v>
      </c>
    </row>
    <row r="21" spans="2:10" ht="17.25" customHeight="1" x14ac:dyDescent="0.3">
      <c r="B21" s="2" t="s">
        <v>33</v>
      </c>
      <c r="C21" s="2">
        <v>1.62</v>
      </c>
      <c r="D21" s="2">
        <v>1.67</v>
      </c>
      <c r="E21" s="2">
        <v>1.74</v>
      </c>
      <c r="G21" s="2" t="s">
        <v>33</v>
      </c>
      <c r="H21" s="2">
        <v>1.62</v>
      </c>
      <c r="I21" s="1">
        <f t="shared" si="0"/>
        <v>4.9999999999999822E-2</v>
      </c>
      <c r="J21" s="1">
        <f t="shared" si="1"/>
        <v>7.0000000000000062E-2</v>
      </c>
    </row>
    <row r="22" spans="2:10" ht="17.25" customHeight="1" x14ac:dyDescent="0.3">
      <c r="B22" s="2" t="s">
        <v>46</v>
      </c>
      <c r="C22" s="2">
        <v>1.63</v>
      </c>
      <c r="D22" s="2">
        <v>1.69</v>
      </c>
      <c r="E22" s="2">
        <v>1.75</v>
      </c>
      <c r="G22" s="2" t="s">
        <v>46</v>
      </c>
      <c r="H22" s="2">
        <v>1.63</v>
      </c>
      <c r="I22" s="1">
        <f t="shared" si="0"/>
        <v>6.0000000000000053E-2</v>
      </c>
      <c r="J22" s="1">
        <f t="shared" si="1"/>
        <v>6.0000000000000053E-2</v>
      </c>
    </row>
    <row r="23" spans="2:10" ht="17.25" customHeight="1" x14ac:dyDescent="0.3">
      <c r="B23" s="2" t="s">
        <v>40</v>
      </c>
      <c r="C23" s="2">
        <v>1.71</v>
      </c>
      <c r="D23" s="2">
        <v>1.72</v>
      </c>
      <c r="E23" s="2">
        <v>1.75</v>
      </c>
      <c r="G23" s="2" t="s">
        <v>40</v>
      </c>
      <c r="H23" s="2">
        <v>1.71</v>
      </c>
      <c r="I23" s="1">
        <f t="shared" si="0"/>
        <v>1.0000000000000009E-2</v>
      </c>
      <c r="J23" s="1">
        <f t="shared" si="1"/>
        <v>3.0000000000000027E-2</v>
      </c>
    </row>
    <row r="24" spans="2:10" ht="17.25" customHeight="1" x14ac:dyDescent="0.3">
      <c r="B24" s="2" t="s">
        <v>12</v>
      </c>
      <c r="C24" s="2">
        <v>1.73</v>
      </c>
      <c r="D24" s="2">
        <v>1.76</v>
      </c>
      <c r="E24" s="2">
        <v>1.78</v>
      </c>
      <c r="G24" s="2" t="s">
        <v>12</v>
      </c>
      <c r="H24" s="2">
        <v>1.73</v>
      </c>
      <c r="I24" s="1">
        <f t="shared" si="0"/>
        <v>3.0000000000000027E-2</v>
      </c>
      <c r="J24" s="1">
        <f t="shared" si="1"/>
        <v>2.0000000000000018E-2</v>
      </c>
    </row>
    <row r="25" spans="2:10" ht="17.25" customHeight="1" x14ac:dyDescent="0.3">
      <c r="B25" s="2" t="s">
        <v>37</v>
      </c>
      <c r="C25" s="2">
        <v>1.74</v>
      </c>
      <c r="D25" s="2">
        <v>1.75</v>
      </c>
      <c r="E25" s="2">
        <v>1.78</v>
      </c>
      <c r="G25" s="2" t="s">
        <v>37</v>
      </c>
      <c r="H25" s="2">
        <v>1.74</v>
      </c>
      <c r="I25" s="1">
        <f t="shared" si="0"/>
        <v>1.0000000000000009E-2</v>
      </c>
      <c r="J25" s="1">
        <f t="shared" si="1"/>
        <v>3.0000000000000027E-2</v>
      </c>
    </row>
    <row r="26" spans="2:10" ht="17.25" customHeight="1" x14ac:dyDescent="0.3">
      <c r="B26" s="2" t="s">
        <v>22</v>
      </c>
      <c r="C26" s="2">
        <v>1.7</v>
      </c>
      <c r="D26" s="2">
        <v>1.74</v>
      </c>
      <c r="E26" s="2">
        <v>1.79</v>
      </c>
      <c r="G26" s="2" t="s">
        <v>22</v>
      </c>
      <c r="H26" s="2">
        <v>1.7</v>
      </c>
      <c r="I26" s="1">
        <f t="shared" si="0"/>
        <v>4.0000000000000036E-2</v>
      </c>
      <c r="J26" s="1">
        <f t="shared" si="1"/>
        <v>5.0000000000000044E-2</v>
      </c>
    </row>
    <row r="27" spans="2:10" ht="17.25" customHeight="1" x14ac:dyDescent="0.3">
      <c r="B27" s="2" t="s">
        <v>29</v>
      </c>
      <c r="C27" s="2">
        <v>1.73</v>
      </c>
      <c r="D27" s="2">
        <v>1.75</v>
      </c>
      <c r="E27" s="2">
        <v>1.8</v>
      </c>
      <c r="G27" s="2" t="s">
        <v>29</v>
      </c>
      <c r="H27" s="2">
        <v>1.73</v>
      </c>
      <c r="I27" s="1">
        <f t="shared" si="0"/>
        <v>2.0000000000000018E-2</v>
      </c>
      <c r="J27" s="1">
        <f t="shared" si="1"/>
        <v>5.0000000000000044E-2</v>
      </c>
    </row>
    <row r="28" spans="2:10" ht="17.25" customHeight="1" x14ac:dyDescent="0.3">
      <c r="B28" s="2" t="s">
        <v>31</v>
      </c>
      <c r="C28" s="2">
        <v>1.71</v>
      </c>
      <c r="D28" s="2">
        <v>1.72</v>
      </c>
      <c r="E28" s="2">
        <v>1.8</v>
      </c>
      <c r="G28" s="2" t="s">
        <v>31</v>
      </c>
      <c r="H28" s="2">
        <v>1.71</v>
      </c>
      <c r="I28" s="1">
        <f t="shared" si="0"/>
        <v>1.0000000000000009E-2</v>
      </c>
      <c r="J28" s="1">
        <f t="shared" si="1"/>
        <v>8.0000000000000071E-2</v>
      </c>
    </row>
    <row r="29" spans="2:10" ht="17.25" customHeight="1" x14ac:dyDescent="0.3">
      <c r="B29" s="2" t="s">
        <v>50</v>
      </c>
      <c r="C29" s="2">
        <v>1.73</v>
      </c>
      <c r="D29" s="2">
        <v>1.76</v>
      </c>
      <c r="E29" s="2">
        <v>1.8</v>
      </c>
      <c r="G29" s="2" t="s">
        <v>50</v>
      </c>
      <c r="H29" s="2">
        <v>1.73</v>
      </c>
      <c r="I29" s="1">
        <f t="shared" si="0"/>
        <v>3.0000000000000027E-2</v>
      </c>
      <c r="J29" s="1">
        <f t="shared" si="1"/>
        <v>4.0000000000000036E-2</v>
      </c>
    </row>
    <row r="30" spans="2:10" ht="17.25" customHeight="1" x14ac:dyDescent="0.3">
      <c r="B30" s="2" t="s">
        <v>8</v>
      </c>
      <c r="C30" s="2">
        <v>1.71</v>
      </c>
      <c r="D30" s="2">
        <v>1.74</v>
      </c>
      <c r="E30" s="2">
        <v>1.81</v>
      </c>
      <c r="G30" s="2" t="s">
        <v>8</v>
      </c>
      <c r="H30" s="2">
        <v>1.71</v>
      </c>
      <c r="I30" s="1">
        <f t="shared" si="0"/>
        <v>3.0000000000000027E-2</v>
      </c>
      <c r="J30" s="1">
        <f t="shared" si="1"/>
        <v>7.0000000000000062E-2</v>
      </c>
    </row>
    <row r="31" spans="2:10" ht="17.25" customHeight="1" x14ac:dyDescent="0.3">
      <c r="B31" s="2" t="s">
        <v>32</v>
      </c>
      <c r="C31" s="2">
        <v>1.74</v>
      </c>
      <c r="D31" s="2">
        <v>1.75</v>
      </c>
      <c r="E31" s="2">
        <v>1.83</v>
      </c>
      <c r="G31" s="2" t="s">
        <v>32</v>
      </c>
      <c r="H31" s="2">
        <v>1.74</v>
      </c>
      <c r="I31" s="1">
        <f t="shared" si="0"/>
        <v>1.0000000000000009E-2</v>
      </c>
      <c r="J31" s="1">
        <f t="shared" si="1"/>
        <v>8.0000000000000071E-2</v>
      </c>
    </row>
    <row r="32" spans="2:10" ht="17.25" customHeight="1" x14ac:dyDescent="0.3">
      <c r="B32" s="2" t="s">
        <v>26</v>
      </c>
      <c r="C32" s="2">
        <v>1.62</v>
      </c>
      <c r="D32" s="2">
        <v>1.72</v>
      </c>
      <c r="E32" s="2">
        <v>1.84</v>
      </c>
      <c r="G32" s="2" t="s">
        <v>26</v>
      </c>
      <c r="H32" s="2">
        <v>1.62</v>
      </c>
      <c r="I32" s="1">
        <f t="shared" si="0"/>
        <v>9.9999999999999867E-2</v>
      </c>
      <c r="J32" s="1">
        <f t="shared" si="1"/>
        <v>0.12000000000000011</v>
      </c>
    </row>
    <row r="33" spans="2:10" ht="17.25" customHeight="1" x14ac:dyDescent="0.3">
      <c r="B33" s="2" t="s">
        <v>41</v>
      </c>
      <c r="C33" s="2">
        <v>1.77</v>
      </c>
      <c r="D33" s="2">
        <v>1.78</v>
      </c>
      <c r="E33" s="2">
        <v>1.84</v>
      </c>
      <c r="G33" s="2" t="s">
        <v>41</v>
      </c>
      <c r="H33" s="2">
        <v>1.77</v>
      </c>
      <c r="I33" s="1">
        <f t="shared" si="0"/>
        <v>1.0000000000000009E-2</v>
      </c>
      <c r="J33" s="1">
        <f t="shared" si="1"/>
        <v>6.0000000000000053E-2</v>
      </c>
    </row>
    <row r="34" spans="2:10" ht="17.25" customHeight="1" x14ac:dyDescent="0.3">
      <c r="B34" s="2" t="s">
        <v>13</v>
      </c>
      <c r="C34" s="2">
        <v>1.69</v>
      </c>
      <c r="D34" s="2">
        <v>1.77</v>
      </c>
      <c r="E34" s="2">
        <v>1.86</v>
      </c>
      <c r="G34" s="2" t="s">
        <v>13</v>
      </c>
      <c r="H34" s="2">
        <v>1.69</v>
      </c>
      <c r="I34" s="1">
        <f t="shared" si="0"/>
        <v>8.0000000000000071E-2</v>
      </c>
      <c r="J34" s="1">
        <f t="shared" si="1"/>
        <v>9.000000000000008E-2</v>
      </c>
    </row>
    <row r="35" spans="2:10" ht="17.25" customHeight="1" x14ac:dyDescent="0.3">
      <c r="B35" s="2" t="s">
        <v>27</v>
      </c>
      <c r="C35" s="2">
        <v>1.67</v>
      </c>
      <c r="D35" s="2">
        <v>1.72</v>
      </c>
      <c r="E35" s="2">
        <v>1.86</v>
      </c>
      <c r="G35" s="2" t="s">
        <v>27</v>
      </c>
      <c r="H35" s="2">
        <v>1.67</v>
      </c>
      <c r="I35" s="1">
        <f t="shared" si="0"/>
        <v>5.0000000000000044E-2</v>
      </c>
      <c r="J35" s="1">
        <f t="shared" si="1"/>
        <v>0.14000000000000012</v>
      </c>
    </row>
    <row r="36" spans="2:10" ht="17.25" customHeight="1" x14ac:dyDescent="0.3">
      <c r="B36" s="2" t="s">
        <v>20</v>
      </c>
      <c r="C36" s="2">
        <v>1.85</v>
      </c>
      <c r="D36" s="2">
        <v>1.9</v>
      </c>
      <c r="E36" s="2">
        <v>2</v>
      </c>
      <c r="G36" s="2" t="s">
        <v>20</v>
      </c>
      <c r="H36" s="2">
        <v>1.85</v>
      </c>
      <c r="I36" s="1">
        <f t="shared" si="0"/>
        <v>4.9999999999999822E-2</v>
      </c>
      <c r="J36" s="1">
        <f t="shared" si="1"/>
        <v>0.10000000000000009</v>
      </c>
    </row>
    <row r="37" spans="2:10" ht="17.25" customHeight="1" x14ac:dyDescent="0.3">
      <c r="B37" s="2" t="s">
        <v>10</v>
      </c>
      <c r="C37" s="2">
        <v>1.54</v>
      </c>
      <c r="D37" s="2">
        <v>1.74</v>
      </c>
      <c r="E37" s="2">
        <v>2.0099999999999998</v>
      </c>
      <c r="G37" s="2" t="s">
        <v>10</v>
      </c>
      <c r="H37" s="2">
        <v>1.54</v>
      </c>
      <c r="I37" s="1">
        <f t="shared" si="0"/>
        <v>0.19999999999999996</v>
      </c>
      <c r="J37" s="1">
        <f t="shared" si="1"/>
        <v>0.2699999999999998</v>
      </c>
    </row>
    <row r="38" spans="2:10" ht="17.25" customHeight="1" x14ac:dyDescent="0.3">
      <c r="B38" s="2" t="s">
        <v>23</v>
      </c>
      <c r="C38" s="2">
        <v>1.67</v>
      </c>
      <c r="D38" s="2">
        <v>1.73</v>
      </c>
      <c r="E38" s="2">
        <v>2.06</v>
      </c>
      <c r="G38" s="2" t="s">
        <v>23</v>
      </c>
      <c r="H38" s="2">
        <v>1.67</v>
      </c>
      <c r="I38" s="1">
        <f t="shared" si="0"/>
        <v>6.0000000000000053E-2</v>
      </c>
      <c r="J38" s="1">
        <f t="shared" si="1"/>
        <v>0.33000000000000007</v>
      </c>
    </row>
    <row r="39" spans="2:10" ht="17.25" customHeight="1" x14ac:dyDescent="0.3">
      <c r="B39" s="2" t="s">
        <v>25</v>
      </c>
      <c r="C39" s="2">
        <v>1.55</v>
      </c>
      <c r="D39" s="2">
        <v>1.6</v>
      </c>
      <c r="E39" s="2">
        <v>2.19</v>
      </c>
      <c r="G39" s="2" t="s">
        <v>25</v>
      </c>
      <c r="H39" s="2">
        <v>1.55</v>
      </c>
      <c r="I39" s="1">
        <f t="shared" si="0"/>
        <v>5.0000000000000044E-2</v>
      </c>
      <c r="J39" s="1">
        <f t="shared" si="1"/>
        <v>0.58999999999999986</v>
      </c>
    </row>
    <row r="40" spans="2:10" ht="17.25" customHeight="1" x14ac:dyDescent="0.3">
      <c r="B40" s="2" t="s">
        <v>49</v>
      </c>
      <c r="C40" s="2">
        <v>1.35</v>
      </c>
      <c r="D40" s="2">
        <v>1.36</v>
      </c>
      <c r="E40" s="2"/>
      <c r="G40" s="2" t="s">
        <v>49</v>
      </c>
      <c r="H40" s="2">
        <v>1.35</v>
      </c>
      <c r="I40" s="1">
        <f t="shared" si="0"/>
        <v>1.0000000000000009E-2</v>
      </c>
    </row>
  </sheetData>
  <autoFilter ref="A2:E2" xr:uid="{00000000-0009-0000-0000-000003000000}">
    <sortState xmlns:xlrd2="http://schemas.microsoft.com/office/spreadsheetml/2017/richdata2" ref="A3:E40">
      <sortCondition ref="E2"/>
    </sortState>
  </autoFilter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4DEC-9B8E-43CB-9F80-54C42F381207}">
  <dimension ref="B1:J37"/>
  <sheetViews>
    <sheetView zoomScale="55" zoomScaleNormal="55" workbookViewId="0">
      <selection activeCell="AQ30" sqref="AQ30"/>
    </sheetView>
  </sheetViews>
  <sheetFormatPr defaultRowHeight="17.25" customHeight="1" x14ac:dyDescent="0.3"/>
  <cols>
    <col min="1" max="1" width="2.75" style="1" customWidth="1"/>
    <col min="2" max="2" width="26.375" style="1" customWidth="1"/>
    <col min="3" max="5" width="8.5" style="1" customWidth="1"/>
    <col min="6" max="6" width="9" style="1" customWidth="1"/>
    <col min="7" max="7" width="26.375" style="1" customWidth="1"/>
    <col min="8" max="8" width="9" style="1" customWidth="1"/>
    <col min="9" max="16384" width="9" style="1"/>
  </cols>
  <sheetData>
    <row r="1" spans="2:10" ht="15" customHeight="1" x14ac:dyDescent="0.3">
      <c r="B1" s="1" t="s">
        <v>43</v>
      </c>
      <c r="G1" s="1" t="s">
        <v>43</v>
      </c>
    </row>
    <row r="2" spans="2:10" ht="17.25" customHeight="1" x14ac:dyDescent="0.3">
      <c r="B2" s="2" t="s">
        <v>0</v>
      </c>
      <c r="C2" s="2" t="s">
        <v>5</v>
      </c>
      <c r="D2" s="2" t="s">
        <v>6</v>
      </c>
      <c r="E2" s="2" t="s">
        <v>7</v>
      </c>
      <c r="G2" s="2" t="s">
        <v>0</v>
      </c>
      <c r="H2" s="23">
        <v>0.5</v>
      </c>
      <c r="I2" s="23">
        <v>0.7</v>
      </c>
      <c r="J2" s="23">
        <v>1</v>
      </c>
    </row>
    <row r="3" spans="2:10" ht="17.25" customHeight="1" x14ac:dyDescent="0.3">
      <c r="B3" s="6" t="s">
        <v>34</v>
      </c>
      <c r="C3" s="13">
        <v>1.47</v>
      </c>
      <c r="D3" s="13">
        <v>1.5</v>
      </c>
      <c r="E3" s="13">
        <v>1.57</v>
      </c>
      <c r="G3" s="6" t="s">
        <v>34</v>
      </c>
      <c r="H3" s="13">
        <v>1.47</v>
      </c>
      <c r="I3" s="1">
        <f t="shared" ref="I3:I37" si="0">D3-H3</f>
        <v>3.0000000000000027E-2</v>
      </c>
      <c r="J3" s="1">
        <f t="shared" ref="J3:J37" si="1">E3-D3</f>
        <v>7.0000000000000062E-2</v>
      </c>
    </row>
    <row r="4" spans="2:10" ht="17.25" customHeight="1" x14ac:dyDescent="0.3">
      <c r="B4" s="6" t="s">
        <v>36</v>
      </c>
      <c r="C4" s="13">
        <v>1.52</v>
      </c>
      <c r="D4" s="13">
        <v>1.52</v>
      </c>
      <c r="E4" s="13">
        <v>1.57</v>
      </c>
      <c r="G4" s="6" t="s">
        <v>36</v>
      </c>
      <c r="H4" s="13">
        <v>1.52</v>
      </c>
      <c r="I4" s="1">
        <f t="shared" si="0"/>
        <v>0</v>
      </c>
      <c r="J4" s="1">
        <f t="shared" si="1"/>
        <v>5.0000000000000044E-2</v>
      </c>
    </row>
    <row r="5" spans="2:10" ht="17.25" customHeight="1" x14ac:dyDescent="0.3">
      <c r="B5" s="6" t="s">
        <v>14</v>
      </c>
      <c r="C5" s="13">
        <v>1.51</v>
      </c>
      <c r="D5" s="13">
        <v>1.54</v>
      </c>
      <c r="E5" s="13">
        <v>1.57</v>
      </c>
      <c r="G5" s="6" t="s">
        <v>14</v>
      </c>
      <c r="H5" s="13">
        <v>1.51</v>
      </c>
      <c r="I5" s="1">
        <f t="shared" si="0"/>
        <v>3.0000000000000027E-2</v>
      </c>
      <c r="J5" s="1">
        <f t="shared" si="1"/>
        <v>3.0000000000000027E-2</v>
      </c>
    </row>
    <row r="6" spans="2:10" ht="17.25" customHeight="1" x14ac:dyDescent="0.3">
      <c r="B6" s="6" t="s">
        <v>25</v>
      </c>
      <c r="C6" s="13">
        <v>1.51</v>
      </c>
      <c r="D6" s="13">
        <v>1.55</v>
      </c>
      <c r="E6" s="13">
        <v>1.58</v>
      </c>
      <c r="G6" s="6" t="s">
        <v>25</v>
      </c>
      <c r="H6" s="13">
        <v>1.51</v>
      </c>
      <c r="I6" s="1">
        <f t="shared" si="0"/>
        <v>4.0000000000000036E-2</v>
      </c>
      <c r="J6" s="1">
        <f t="shared" si="1"/>
        <v>3.0000000000000027E-2</v>
      </c>
    </row>
    <row r="7" spans="2:10" ht="17.25" customHeight="1" x14ac:dyDescent="0.3">
      <c r="B7" s="6" t="s">
        <v>11</v>
      </c>
      <c r="C7" s="13">
        <v>1.43</v>
      </c>
      <c r="D7" s="13">
        <v>1.52</v>
      </c>
      <c r="E7" s="13">
        <v>1.59</v>
      </c>
      <c r="G7" s="6" t="s">
        <v>11</v>
      </c>
      <c r="H7" s="13">
        <v>1.43</v>
      </c>
      <c r="I7" s="1">
        <f t="shared" si="0"/>
        <v>9.000000000000008E-2</v>
      </c>
      <c r="J7" s="1">
        <f t="shared" si="1"/>
        <v>7.0000000000000062E-2</v>
      </c>
    </row>
    <row r="8" spans="2:10" ht="17.25" customHeight="1" x14ac:dyDescent="0.3">
      <c r="B8" s="6" t="s">
        <v>42</v>
      </c>
      <c r="C8" s="13">
        <v>1.5</v>
      </c>
      <c r="D8" s="13">
        <v>1.56</v>
      </c>
      <c r="E8" s="13">
        <v>1.59</v>
      </c>
      <c r="G8" s="6" t="s">
        <v>42</v>
      </c>
      <c r="H8" s="13">
        <v>1.5</v>
      </c>
      <c r="I8" s="1">
        <f t="shared" si="0"/>
        <v>6.0000000000000053E-2</v>
      </c>
      <c r="J8" s="1">
        <f t="shared" si="1"/>
        <v>3.0000000000000027E-2</v>
      </c>
    </row>
    <row r="9" spans="2:10" ht="17.25" customHeight="1" x14ac:dyDescent="0.3">
      <c r="B9" s="6" t="s">
        <v>24</v>
      </c>
      <c r="C9" s="13">
        <v>1.45</v>
      </c>
      <c r="D9" s="13">
        <v>1.54</v>
      </c>
      <c r="E9" s="13">
        <v>1.62</v>
      </c>
      <c r="G9" s="6" t="s">
        <v>24</v>
      </c>
      <c r="H9" s="13">
        <v>1.45</v>
      </c>
      <c r="I9" s="1">
        <f t="shared" si="0"/>
        <v>9.000000000000008E-2</v>
      </c>
      <c r="J9" s="1">
        <f t="shared" si="1"/>
        <v>8.0000000000000071E-2</v>
      </c>
    </row>
    <row r="10" spans="2:10" ht="17.25" customHeight="1" x14ac:dyDescent="0.3">
      <c r="B10" s="6" t="s">
        <v>10</v>
      </c>
      <c r="C10" s="13">
        <v>1.41</v>
      </c>
      <c r="D10" s="13">
        <v>1.48</v>
      </c>
      <c r="E10" s="13">
        <v>1.66</v>
      </c>
      <c r="G10" s="6" t="s">
        <v>10</v>
      </c>
      <c r="H10" s="13">
        <v>1.41</v>
      </c>
      <c r="I10" s="1">
        <f t="shared" si="0"/>
        <v>7.0000000000000062E-2</v>
      </c>
      <c r="J10" s="1">
        <f t="shared" si="1"/>
        <v>0.17999999999999994</v>
      </c>
    </row>
    <row r="11" spans="2:10" ht="17.25" customHeight="1" x14ac:dyDescent="0.3">
      <c r="B11" s="6" t="s">
        <v>26</v>
      </c>
      <c r="C11" s="13">
        <v>1.58</v>
      </c>
      <c r="D11" s="13">
        <v>1.6</v>
      </c>
      <c r="E11" s="13">
        <v>1.67</v>
      </c>
      <c r="G11" s="6" t="s">
        <v>26</v>
      </c>
      <c r="H11" s="13">
        <v>1.58</v>
      </c>
      <c r="I11" s="1">
        <f t="shared" si="0"/>
        <v>2.0000000000000018E-2</v>
      </c>
      <c r="J11" s="1">
        <f t="shared" si="1"/>
        <v>6.999999999999984E-2</v>
      </c>
    </row>
    <row r="12" spans="2:10" ht="17.25" customHeight="1" x14ac:dyDescent="0.3">
      <c r="B12" s="6" t="s">
        <v>38</v>
      </c>
      <c r="C12" s="13">
        <v>1.61</v>
      </c>
      <c r="D12" s="13">
        <v>1.65</v>
      </c>
      <c r="E12" s="13">
        <v>1.7</v>
      </c>
      <c r="G12" s="6" t="s">
        <v>38</v>
      </c>
      <c r="H12" s="13">
        <v>1.61</v>
      </c>
      <c r="I12" s="1">
        <f t="shared" si="0"/>
        <v>3.9999999999999813E-2</v>
      </c>
      <c r="J12" s="1">
        <f t="shared" si="1"/>
        <v>5.0000000000000044E-2</v>
      </c>
    </row>
    <row r="13" spans="2:10" ht="17.25" customHeight="1" x14ac:dyDescent="0.3">
      <c r="B13" s="6" t="s">
        <v>47</v>
      </c>
      <c r="C13" s="13">
        <v>1.48</v>
      </c>
      <c r="D13" s="13">
        <v>1.61</v>
      </c>
      <c r="E13" s="13">
        <v>1.71</v>
      </c>
      <c r="G13" s="6" t="s">
        <v>47</v>
      </c>
      <c r="H13" s="13">
        <v>1.48</v>
      </c>
      <c r="I13" s="1">
        <f t="shared" si="0"/>
        <v>0.13000000000000012</v>
      </c>
      <c r="J13" s="1">
        <f t="shared" si="1"/>
        <v>9.9999999999999867E-2</v>
      </c>
    </row>
    <row r="14" spans="2:10" ht="17.25" customHeight="1" x14ac:dyDescent="0.3">
      <c r="B14" s="6" t="s">
        <v>30</v>
      </c>
      <c r="C14" s="13">
        <v>1.66</v>
      </c>
      <c r="D14" s="13">
        <v>1.66</v>
      </c>
      <c r="E14" s="13">
        <v>1.72</v>
      </c>
      <c r="G14" s="6" t="s">
        <v>30</v>
      </c>
      <c r="H14" s="13">
        <v>1.66</v>
      </c>
      <c r="I14" s="1">
        <f t="shared" si="0"/>
        <v>0</v>
      </c>
      <c r="J14" s="1">
        <f t="shared" si="1"/>
        <v>6.0000000000000053E-2</v>
      </c>
    </row>
    <row r="15" spans="2:10" ht="17.25" customHeight="1" x14ac:dyDescent="0.3">
      <c r="B15" s="6" t="s">
        <v>19</v>
      </c>
      <c r="C15" s="13">
        <v>1.65</v>
      </c>
      <c r="D15" s="13">
        <v>1.71</v>
      </c>
      <c r="E15" s="13">
        <v>1.72</v>
      </c>
      <c r="G15" s="6" t="s">
        <v>19</v>
      </c>
      <c r="H15" s="13">
        <v>1.65</v>
      </c>
      <c r="I15" s="1">
        <f t="shared" si="0"/>
        <v>6.0000000000000053E-2</v>
      </c>
      <c r="J15" s="1">
        <f t="shared" si="1"/>
        <v>1.0000000000000009E-2</v>
      </c>
    </row>
    <row r="16" spans="2:10" ht="17.25" customHeight="1" x14ac:dyDescent="0.3">
      <c r="B16" s="6" t="s">
        <v>39</v>
      </c>
      <c r="C16" s="13">
        <v>1.58</v>
      </c>
      <c r="D16" s="13">
        <v>1.65</v>
      </c>
      <c r="E16" s="13">
        <v>1.75</v>
      </c>
      <c r="G16" s="6" t="s">
        <v>39</v>
      </c>
      <c r="H16" s="13">
        <v>1.58</v>
      </c>
      <c r="I16" s="1">
        <f t="shared" si="0"/>
        <v>6.999999999999984E-2</v>
      </c>
      <c r="J16" s="1">
        <f t="shared" si="1"/>
        <v>0.10000000000000009</v>
      </c>
    </row>
    <row r="17" spans="2:10" ht="17.25" customHeight="1" x14ac:dyDescent="0.3">
      <c r="B17" s="6" t="s">
        <v>18</v>
      </c>
      <c r="C17" s="13">
        <v>1.71</v>
      </c>
      <c r="D17" s="13">
        <v>1.72</v>
      </c>
      <c r="E17" s="13">
        <v>1.75</v>
      </c>
      <c r="G17" s="6" t="s">
        <v>18</v>
      </c>
      <c r="H17" s="13">
        <v>1.71</v>
      </c>
      <c r="I17" s="1">
        <f t="shared" si="0"/>
        <v>1.0000000000000009E-2</v>
      </c>
      <c r="J17" s="1">
        <f t="shared" si="1"/>
        <v>3.0000000000000027E-2</v>
      </c>
    </row>
    <row r="18" spans="2:10" ht="17.25" customHeight="1" x14ac:dyDescent="0.3">
      <c r="B18" s="6" t="s">
        <v>16</v>
      </c>
      <c r="C18" s="13">
        <v>1.67</v>
      </c>
      <c r="D18" s="13">
        <v>1.71</v>
      </c>
      <c r="E18" s="13">
        <v>1.79</v>
      </c>
      <c r="G18" s="6" t="s">
        <v>16</v>
      </c>
      <c r="H18" s="13">
        <v>1.67</v>
      </c>
      <c r="I18" s="1">
        <f t="shared" si="0"/>
        <v>4.0000000000000036E-2</v>
      </c>
      <c r="J18" s="1">
        <f t="shared" si="1"/>
        <v>8.0000000000000071E-2</v>
      </c>
    </row>
    <row r="19" spans="2:10" ht="17.25" customHeight="1" x14ac:dyDescent="0.3">
      <c r="B19" s="6" t="s">
        <v>35</v>
      </c>
      <c r="C19" s="13">
        <v>1.65</v>
      </c>
      <c r="D19" s="13">
        <v>1.69</v>
      </c>
      <c r="E19" s="13">
        <v>1.8</v>
      </c>
      <c r="G19" s="6" t="s">
        <v>35</v>
      </c>
      <c r="H19" s="13">
        <v>1.65</v>
      </c>
      <c r="I19" s="1">
        <f t="shared" si="0"/>
        <v>4.0000000000000036E-2</v>
      </c>
      <c r="J19" s="1">
        <f t="shared" si="1"/>
        <v>0.1100000000000001</v>
      </c>
    </row>
    <row r="20" spans="2:10" ht="17.25" customHeight="1" x14ac:dyDescent="0.3">
      <c r="B20" s="6" t="s">
        <v>13</v>
      </c>
      <c r="C20" s="13">
        <v>1.67</v>
      </c>
      <c r="D20" s="13">
        <v>1.7</v>
      </c>
      <c r="E20" s="13">
        <v>1.83</v>
      </c>
      <c r="G20" s="6" t="s">
        <v>13</v>
      </c>
      <c r="H20" s="13">
        <v>1.67</v>
      </c>
      <c r="I20" s="1">
        <f t="shared" si="0"/>
        <v>3.0000000000000027E-2</v>
      </c>
      <c r="J20" s="1">
        <f t="shared" si="1"/>
        <v>0.13000000000000012</v>
      </c>
    </row>
    <row r="21" spans="2:10" ht="17.25" customHeight="1" x14ac:dyDescent="0.3">
      <c r="B21" s="6" t="s">
        <v>23</v>
      </c>
      <c r="C21" s="13">
        <v>1.58</v>
      </c>
      <c r="D21" s="13">
        <v>1.66</v>
      </c>
      <c r="E21" s="13">
        <v>1.84</v>
      </c>
      <c r="G21" s="6" t="s">
        <v>23</v>
      </c>
      <c r="H21" s="13">
        <v>1.58</v>
      </c>
      <c r="I21" s="1">
        <f t="shared" si="0"/>
        <v>7.9999999999999849E-2</v>
      </c>
      <c r="J21" s="1">
        <f t="shared" si="1"/>
        <v>0.18000000000000016</v>
      </c>
    </row>
    <row r="22" spans="2:10" ht="17.25" customHeight="1" x14ac:dyDescent="0.3">
      <c r="B22" s="6" t="s">
        <v>8</v>
      </c>
      <c r="C22" s="13">
        <v>1.78</v>
      </c>
      <c r="D22" s="13">
        <v>1.79</v>
      </c>
      <c r="E22" s="13">
        <v>1.84</v>
      </c>
      <c r="G22" s="6" t="s">
        <v>8</v>
      </c>
      <c r="H22" s="13">
        <v>1.78</v>
      </c>
      <c r="I22" s="1">
        <f t="shared" si="0"/>
        <v>1.0000000000000009E-2</v>
      </c>
      <c r="J22" s="1">
        <f t="shared" si="1"/>
        <v>5.0000000000000044E-2</v>
      </c>
    </row>
    <row r="23" spans="2:10" ht="17.25" customHeight="1" x14ac:dyDescent="0.3">
      <c r="B23" s="6" t="s">
        <v>20</v>
      </c>
      <c r="C23" s="13">
        <v>1.66</v>
      </c>
      <c r="D23" s="13">
        <v>1.72</v>
      </c>
      <c r="E23" s="13">
        <v>1.86</v>
      </c>
      <c r="G23" s="6" t="s">
        <v>20</v>
      </c>
      <c r="H23" s="13">
        <v>1.66</v>
      </c>
      <c r="I23" s="1">
        <f t="shared" si="0"/>
        <v>6.0000000000000053E-2</v>
      </c>
      <c r="J23" s="1">
        <f t="shared" si="1"/>
        <v>0.14000000000000012</v>
      </c>
    </row>
    <row r="24" spans="2:10" ht="17.25" customHeight="1" x14ac:dyDescent="0.3">
      <c r="B24" s="6" t="s">
        <v>32</v>
      </c>
      <c r="C24" s="13">
        <v>1.78</v>
      </c>
      <c r="D24" s="13">
        <v>1.81</v>
      </c>
      <c r="E24" s="13">
        <v>1.86</v>
      </c>
      <c r="G24" s="6" t="s">
        <v>32</v>
      </c>
      <c r="H24" s="13">
        <v>1.78</v>
      </c>
      <c r="I24" s="1">
        <f t="shared" si="0"/>
        <v>3.0000000000000027E-2</v>
      </c>
      <c r="J24" s="1">
        <f t="shared" si="1"/>
        <v>5.0000000000000044E-2</v>
      </c>
    </row>
    <row r="25" spans="2:10" ht="17.25" customHeight="1" x14ac:dyDescent="0.3">
      <c r="B25" s="6" t="s">
        <v>40</v>
      </c>
      <c r="C25" s="13">
        <v>1.82</v>
      </c>
      <c r="D25" s="13">
        <v>1.82</v>
      </c>
      <c r="E25" s="13">
        <v>1.91</v>
      </c>
      <c r="G25" s="6" t="s">
        <v>40</v>
      </c>
      <c r="H25" s="13">
        <v>1.82</v>
      </c>
      <c r="I25" s="1">
        <f t="shared" si="0"/>
        <v>0</v>
      </c>
      <c r="J25" s="1">
        <f t="shared" si="1"/>
        <v>8.9999999999999858E-2</v>
      </c>
    </row>
    <row r="26" spans="2:10" ht="17.25" customHeight="1" x14ac:dyDescent="0.3">
      <c r="B26" s="6" t="s">
        <v>22</v>
      </c>
      <c r="C26" s="13">
        <v>1.76</v>
      </c>
      <c r="D26" s="13">
        <v>1.79</v>
      </c>
      <c r="E26" s="13">
        <v>1.92</v>
      </c>
      <c r="G26" s="6" t="s">
        <v>22</v>
      </c>
      <c r="H26" s="13">
        <v>1.76</v>
      </c>
      <c r="I26" s="1">
        <f t="shared" si="0"/>
        <v>3.0000000000000027E-2</v>
      </c>
      <c r="J26" s="1">
        <f t="shared" si="1"/>
        <v>0.12999999999999989</v>
      </c>
    </row>
    <row r="27" spans="2:10" ht="17.25" customHeight="1" x14ac:dyDescent="0.3">
      <c r="B27" s="6" t="s">
        <v>28</v>
      </c>
      <c r="C27" s="13">
        <v>1.73</v>
      </c>
      <c r="D27" s="13">
        <v>1.77</v>
      </c>
      <c r="E27" s="13">
        <v>1.93</v>
      </c>
      <c r="G27" s="6" t="s">
        <v>28</v>
      </c>
      <c r="H27" s="13">
        <v>1.73</v>
      </c>
      <c r="I27" s="1">
        <f t="shared" si="0"/>
        <v>4.0000000000000036E-2</v>
      </c>
      <c r="J27" s="1">
        <f t="shared" si="1"/>
        <v>0.15999999999999992</v>
      </c>
    </row>
    <row r="28" spans="2:10" ht="17.25" customHeight="1" x14ac:dyDescent="0.3">
      <c r="B28" s="6" t="s">
        <v>33</v>
      </c>
      <c r="C28" s="13">
        <v>1.62</v>
      </c>
      <c r="D28" s="13">
        <v>1.7</v>
      </c>
      <c r="E28" s="13">
        <v>1.94</v>
      </c>
      <c r="G28" s="6" t="s">
        <v>33</v>
      </c>
      <c r="H28" s="13">
        <v>1.62</v>
      </c>
      <c r="I28" s="1">
        <f t="shared" si="0"/>
        <v>7.9999999999999849E-2</v>
      </c>
      <c r="J28" s="1">
        <f t="shared" si="1"/>
        <v>0.24</v>
      </c>
    </row>
    <row r="29" spans="2:10" ht="17.25" customHeight="1" x14ac:dyDescent="0.3">
      <c r="B29" s="6" t="s">
        <v>29</v>
      </c>
      <c r="C29" s="13">
        <v>1.75</v>
      </c>
      <c r="D29" s="13">
        <v>1.82</v>
      </c>
      <c r="E29" s="13">
        <v>1.94</v>
      </c>
      <c r="G29" s="6" t="s">
        <v>29</v>
      </c>
      <c r="H29" s="13">
        <v>1.75</v>
      </c>
      <c r="I29" s="1">
        <f t="shared" si="0"/>
        <v>7.0000000000000062E-2</v>
      </c>
      <c r="J29" s="1">
        <f t="shared" si="1"/>
        <v>0.11999999999999988</v>
      </c>
    </row>
    <row r="30" spans="2:10" ht="17.25" customHeight="1" x14ac:dyDescent="0.3">
      <c r="B30" s="6" t="s">
        <v>50</v>
      </c>
      <c r="C30" s="13">
        <v>1.77</v>
      </c>
      <c r="D30" s="13">
        <v>1.84</v>
      </c>
      <c r="E30" s="13">
        <v>1.94</v>
      </c>
      <c r="G30" s="6" t="s">
        <v>50</v>
      </c>
      <c r="H30" s="13">
        <v>1.77</v>
      </c>
      <c r="I30" s="1">
        <f t="shared" si="0"/>
        <v>7.0000000000000062E-2</v>
      </c>
      <c r="J30" s="1">
        <f t="shared" si="1"/>
        <v>9.9999999999999867E-2</v>
      </c>
    </row>
    <row r="31" spans="2:10" ht="17.25" customHeight="1" x14ac:dyDescent="0.3">
      <c r="B31" s="6" t="s">
        <v>21</v>
      </c>
      <c r="C31" s="13">
        <v>1.52</v>
      </c>
      <c r="D31" s="13">
        <v>1.71</v>
      </c>
      <c r="E31" s="13">
        <v>2</v>
      </c>
      <c r="G31" s="6" t="s">
        <v>21</v>
      </c>
      <c r="H31" s="13">
        <v>1.52</v>
      </c>
      <c r="I31" s="1">
        <f t="shared" si="0"/>
        <v>0.18999999999999995</v>
      </c>
      <c r="J31" s="1">
        <f t="shared" si="1"/>
        <v>0.29000000000000004</v>
      </c>
    </row>
    <row r="32" spans="2:10" ht="17.25" customHeight="1" x14ac:dyDescent="0.3">
      <c r="B32" s="6" t="s">
        <v>41</v>
      </c>
      <c r="C32" s="13">
        <v>1.87</v>
      </c>
      <c r="D32" s="13">
        <v>1.87</v>
      </c>
      <c r="E32" s="13">
        <v>2.0099999999999998</v>
      </c>
      <c r="G32" s="6" t="s">
        <v>41</v>
      </c>
      <c r="H32" s="13">
        <v>1.87</v>
      </c>
      <c r="I32" s="1">
        <f t="shared" si="0"/>
        <v>0</v>
      </c>
      <c r="J32" s="1">
        <f t="shared" si="1"/>
        <v>0.13999999999999968</v>
      </c>
    </row>
    <row r="33" spans="2:10" ht="17.25" customHeight="1" x14ac:dyDescent="0.3">
      <c r="B33" s="6" t="s">
        <v>37</v>
      </c>
      <c r="C33" s="13">
        <v>1.8</v>
      </c>
      <c r="D33" s="13">
        <v>1.81</v>
      </c>
      <c r="E33" s="13">
        <v>2.02</v>
      </c>
      <c r="G33" s="6" t="s">
        <v>37</v>
      </c>
      <c r="H33" s="13">
        <v>1.8</v>
      </c>
      <c r="I33" s="1">
        <f t="shared" si="0"/>
        <v>1.0000000000000009E-2</v>
      </c>
      <c r="J33" s="1">
        <f t="shared" si="1"/>
        <v>0.20999999999999996</v>
      </c>
    </row>
    <row r="34" spans="2:10" ht="17.25" customHeight="1" x14ac:dyDescent="0.3">
      <c r="B34" s="6" t="s">
        <v>31</v>
      </c>
      <c r="C34" s="13">
        <v>1.66</v>
      </c>
      <c r="D34" s="13">
        <v>1.86</v>
      </c>
      <c r="E34" s="13">
        <v>2.0299999999999998</v>
      </c>
      <c r="G34" s="6" t="s">
        <v>31</v>
      </c>
      <c r="H34" s="13">
        <v>1.66</v>
      </c>
      <c r="I34" s="1">
        <f t="shared" si="0"/>
        <v>0.20000000000000018</v>
      </c>
      <c r="J34" s="1">
        <f t="shared" si="1"/>
        <v>0.16999999999999971</v>
      </c>
    </row>
    <row r="35" spans="2:10" ht="17.25" customHeight="1" x14ac:dyDescent="0.3">
      <c r="B35" s="6" t="s">
        <v>17</v>
      </c>
      <c r="C35" s="13">
        <v>1.61</v>
      </c>
      <c r="D35" s="13">
        <v>1.81</v>
      </c>
      <c r="E35" s="13">
        <v>2.2000000000000002</v>
      </c>
      <c r="G35" s="6" t="s">
        <v>17</v>
      </c>
      <c r="H35" s="13">
        <v>1.61</v>
      </c>
      <c r="I35" s="1">
        <f t="shared" si="0"/>
        <v>0.19999999999999996</v>
      </c>
      <c r="J35" s="1">
        <f t="shared" si="1"/>
        <v>0.39000000000000012</v>
      </c>
    </row>
    <row r="36" spans="2:10" ht="17.25" customHeight="1" x14ac:dyDescent="0.3">
      <c r="B36" s="6" t="s">
        <v>12</v>
      </c>
      <c r="C36" s="13">
        <v>1.82</v>
      </c>
      <c r="D36" s="13">
        <v>1.97</v>
      </c>
      <c r="E36" s="13">
        <v>2.37</v>
      </c>
      <c r="G36" s="6" t="s">
        <v>12</v>
      </c>
      <c r="H36" s="13">
        <v>1.82</v>
      </c>
      <c r="I36" s="1">
        <f t="shared" si="0"/>
        <v>0.14999999999999991</v>
      </c>
      <c r="J36" s="1">
        <f t="shared" si="1"/>
        <v>0.40000000000000013</v>
      </c>
    </row>
    <row r="37" spans="2:10" ht="17.25" customHeight="1" x14ac:dyDescent="0.3">
      <c r="B37" s="6" t="s">
        <v>27</v>
      </c>
      <c r="C37" s="13">
        <v>1.65</v>
      </c>
      <c r="D37" s="13">
        <v>1.74</v>
      </c>
      <c r="E37" s="13">
        <v>2.4</v>
      </c>
      <c r="G37" s="6" t="s">
        <v>27</v>
      </c>
      <c r="H37" s="13">
        <v>1.65</v>
      </c>
      <c r="I37" s="1">
        <f t="shared" si="0"/>
        <v>9.000000000000008E-2</v>
      </c>
      <c r="J37" s="1">
        <f t="shared" si="1"/>
        <v>0.65999999999999992</v>
      </c>
    </row>
  </sheetData>
  <autoFilter ref="B2:J2" xr:uid="{4EFE4DEC-9B8E-43CB-9F80-54C42F381207}">
    <sortState xmlns:xlrd2="http://schemas.microsoft.com/office/spreadsheetml/2017/richdata2" ref="B3:J37">
      <sortCondition ref="E2"/>
    </sortState>
  </autoFilter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8B31-4173-4DBF-9CE2-980999C53D64}">
  <dimension ref="B1:J36"/>
  <sheetViews>
    <sheetView zoomScale="55" zoomScaleNormal="55" workbookViewId="0">
      <selection activeCell="AR27" sqref="AR27"/>
    </sheetView>
  </sheetViews>
  <sheetFormatPr defaultRowHeight="17.25" customHeight="1" x14ac:dyDescent="0.3"/>
  <cols>
    <col min="1" max="1" width="2.75" style="1" customWidth="1"/>
    <col min="2" max="2" width="26.375" style="1" customWidth="1"/>
    <col min="3" max="5" width="8.5" style="1" customWidth="1"/>
    <col min="6" max="6" width="9" style="1" customWidth="1"/>
    <col min="7" max="7" width="26.375" style="1" customWidth="1"/>
    <col min="8" max="8" width="9" style="1" customWidth="1"/>
    <col min="9" max="16384" width="9" style="1"/>
  </cols>
  <sheetData>
    <row r="1" spans="2:10" ht="15" customHeight="1" x14ac:dyDescent="0.3">
      <c r="B1" s="1" t="s">
        <v>43</v>
      </c>
      <c r="G1" s="1" t="s">
        <v>43</v>
      </c>
    </row>
    <row r="2" spans="2:10" ht="17.25" customHeight="1" x14ac:dyDescent="0.3">
      <c r="B2" s="2" t="s">
        <v>0</v>
      </c>
      <c r="C2" s="2" t="s">
        <v>5</v>
      </c>
      <c r="D2" s="2" t="s">
        <v>6</v>
      </c>
      <c r="E2" s="2" t="s">
        <v>7</v>
      </c>
      <c r="G2" s="2" t="s">
        <v>0</v>
      </c>
      <c r="H2" s="23">
        <v>0.5</v>
      </c>
      <c r="I2" s="23">
        <v>0.7</v>
      </c>
      <c r="J2" s="23">
        <v>1</v>
      </c>
    </row>
    <row r="3" spans="2:10" ht="17.25" customHeight="1" x14ac:dyDescent="0.3">
      <c r="B3" s="24" t="s">
        <v>34</v>
      </c>
      <c r="C3" s="13">
        <v>1.5</v>
      </c>
      <c r="D3" s="13">
        <v>1.52</v>
      </c>
      <c r="E3" s="13">
        <v>1.55</v>
      </c>
      <c r="G3" s="24" t="s">
        <v>34</v>
      </c>
      <c r="H3" s="13">
        <v>1.5</v>
      </c>
      <c r="I3" s="1">
        <f t="shared" ref="I3:I35" si="0">D3-H3</f>
        <v>2.0000000000000018E-2</v>
      </c>
      <c r="J3" s="1">
        <f t="shared" ref="J3:J35" si="1">E3-D3</f>
        <v>3.0000000000000027E-2</v>
      </c>
    </row>
    <row r="4" spans="2:10" ht="17.25" customHeight="1" x14ac:dyDescent="0.3">
      <c r="B4" s="24" t="s">
        <v>10</v>
      </c>
      <c r="C4" s="13">
        <v>1.38</v>
      </c>
      <c r="D4" s="13">
        <v>1.44</v>
      </c>
      <c r="E4" s="13">
        <v>1.58</v>
      </c>
      <c r="G4" s="24" t="s">
        <v>10</v>
      </c>
      <c r="H4" s="13">
        <v>1.38</v>
      </c>
      <c r="I4" s="1">
        <f t="shared" si="0"/>
        <v>6.0000000000000053E-2</v>
      </c>
      <c r="J4" s="1">
        <f t="shared" si="1"/>
        <v>0.14000000000000012</v>
      </c>
    </row>
    <row r="5" spans="2:10" ht="17.25" customHeight="1" x14ac:dyDescent="0.3">
      <c r="B5" s="24" t="s">
        <v>24</v>
      </c>
      <c r="C5" s="13">
        <v>1.5</v>
      </c>
      <c r="D5" s="13">
        <v>1.55</v>
      </c>
      <c r="E5" s="13">
        <v>1.58</v>
      </c>
      <c r="G5" s="24" t="s">
        <v>24</v>
      </c>
      <c r="H5" s="13">
        <v>1.5</v>
      </c>
      <c r="I5" s="1">
        <f t="shared" si="0"/>
        <v>5.0000000000000044E-2</v>
      </c>
      <c r="J5" s="1">
        <f t="shared" si="1"/>
        <v>3.0000000000000027E-2</v>
      </c>
    </row>
    <row r="6" spans="2:10" ht="17.25" customHeight="1" x14ac:dyDescent="0.3">
      <c r="B6" s="24" t="s">
        <v>47</v>
      </c>
      <c r="C6" s="13">
        <v>1.53</v>
      </c>
      <c r="D6" s="13">
        <v>1.56</v>
      </c>
      <c r="E6" s="13">
        <v>1.59</v>
      </c>
      <c r="G6" s="24" t="s">
        <v>47</v>
      </c>
      <c r="H6" s="13">
        <v>1.53</v>
      </c>
      <c r="I6" s="1">
        <f t="shared" si="0"/>
        <v>3.0000000000000027E-2</v>
      </c>
      <c r="J6" s="1">
        <f t="shared" si="1"/>
        <v>3.0000000000000027E-2</v>
      </c>
    </row>
    <row r="7" spans="2:10" ht="17.25" customHeight="1" x14ac:dyDescent="0.3">
      <c r="B7" s="24" t="s">
        <v>21</v>
      </c>
      <c r="C7" s="13">
        <v>1.46</v>
      </c>
      <c r="D7" s="13">
        <v>1.52</v>
      </c>
      <c r="E7" s="13">
        <v>1.61</v>
      </c>
      <c r="G7" s="24" t="s">
        <v>21</v>
      </c>
      <c r="H7" s="13">
        <v>1.46</v>
      </c>
      <c r="I7" s="1">
        <f t="shared" si="0"/>
        <v>6.0000000000000053E-2</v>
      </c>
      <c r="J7" s="1">
        <f t="shared" si="1"/>
        <v>9.000000000000008E-2</v>
      </c>
    </row>
    <row r="8" spans="2:10" ht="17.25" customHeight="1" x14ac:dyDescent="0.3">
      <c r="B8" s="24" t="s">
        <v>36</v>
      </c>
      <c r="C8" s="13">
        <v>1.46</v>
      </c>
      <c r="D8" s="13">
        <v>1.52</v>
      </c>
      <c r="E8" s="13">
        <v>1.61</v>
      </c>
      <c r="G8" s="24" t="s">
        <v>36</v>
      </c>
      <c r="H8" s="13">
        <v>1.46</v>
      </c>
      <c r="I8" s="1">
        <f t="shared" si="0"/>
        <v>6.0000000000000053E-2</v>
      </c>
      <c r="J8" s="1">
        <f t="shared" si="1"/>
        <v>9.000000000000008E-2</v>
      </c>
    </row>
    <row r="9" spans="2:10" ht="17.25" customHeight="1" x14ac:dyDescent="0.3">
      <c r="B9" s="2" t="s">
        <v>42</v>
      </c>
      <c r="C9" s="4">
        <v>1.59</v>
      </c>
      <c r="D9" s="4">
        <v>1.6</v>
      </c>
      <c r="E9" s="4">
        <v>1.61</v>
      </c>
      <c r="G9" s="2" t="s">
        <v>42</v>
      </c>
      <c r="H9" s="4">
        <v>1.59</v>
      </c>
      <c r="I9" s="1">
        <f t="shared" si="0"/>
        <v>1.0000000000000009E-2</v>
      </c>
      <c r="J9" s="1">
        <f t="shared" si="1"/>
        <v>1.0000000000000009E-2</v>
      </c>
    </row>
    <row r="10" spans="2:10" ht="17.25" customHeight="1" x14ac:dyDescent="0.3">
      <c r="B10" s="24" t="s">
        <v>17</v>
      </c>
      <c r="C10" s="13">
        <v>1.55</v>
      </c>
      <c r="D10" s="13">
        <v>1.57</v>
      </c>
      <c r="E10" s="13">
        <v>1.62</v>
      </c>
      <c r="G10" s="24" t="s">
        <v>17</v>
      </c>
      <c r="H10" s="13">
        <v>1.55</v>
      </c>
      <c r="I10" s="1">
        <f t="shared" si="0"/>
        <v>2.0000000000000018E-2</v>
      </c>
      <c r="J10" s="1">
        <f t="shared" si="1"/>
        <v>5.0000000000000044E-2</v>
      </c>
    </row>
    <row r="11" spans="2:10" ht="17.25" customHeight="1" x14ac:dyDescent="0.3">
      <c r="B11" s="24" t="s">
        <v>11</v>
      </c>
      <c r="C11" s="13">
        <v>1.54</v>
      </c>
      <c r="D11" s="13">
        <v>1.56</v>
      </c>
      <c r="E11" s="13">
        <v>1.64</v>
      </c>
      <c r="G11" s="24" t="s">
        <v>11</v>
      </c>
      <c r="H11" s="13">
        <v>1.54</v>
      </c>
      <c r="I11" s="1">
        <f t="shared" si="0"/>
        <v>2.0000000000000018E-2</v>
      </c>
      <c r="J11" s="1">
        <f t="shared" si="1"/>
        <v>7.9999999999999849E-2</v>
      </c>
    </row>
    <row r="12" spans="2:10" ht="17.25" customHeight="1" x14ac:dyDescent="0.3">
      <c r="B12" s="24" t="s">
        <v>25</v>
      </c>
      <c r="C12" s="13">
        <v>1.53</v>
      </c>
      <c r="D12" s="13">
        <v>1.55</v>
      </c>
      <c r="E12" s="13">
        <v>1.65</v>
      </c>
      <c r="G12" s="24" t="s">
        <v>25</v>
      </c>
      <c r="H12" s="13">
        <v>1.53</v>
      </c>
      <c r="I12" s="1">
        <f t="shared" si="0"/>
        <v>2.0000000000000018E-2</v>
      </c>
      <c r="J12" s="1">
        <f t="shared" si="1"/>
        <v>9.9999999999999867E-2</v>
      </c>
    </row>
    <row r="13" spans="2:10" ht="17.25" customHeight="1" x14ac:dyDescent="0.3">
      <c r="B13" s="24" t="s">
        <v>12</v>
      </c>
      <c r="C13" s="13">
        <v>1.41</v>
      </c>
      <c r="D13" s="13">
        <v>1.57</v>
      </c>
      <c r="E13" s="13">
        <v>1.7</v>
      </c>
      <c r="G13" s="24" t="s">
        <v>12</v>
      </c>
      <c r="H13" s="13">
        <v>1.41</v>
      </c>
      <c r="I13" s="1">
        <f t="shared" si="0"/>
        <v>0.16000000000000014</v>
      </c>
      <c r="J13" s="1">
        <f t="shared" si="1"/>
        <v>0.12999999999999989</v>
      </c>
    </row>
    <row r="14" spans="2:10" ht="17.25" customHeight="1" x14ac:dyDescent="0.3">
      <c r="B14" s="24" t="s">
        <v>26</v>
      </c>
      <c r="C14" s="13">
        <v>1.61</v>
      </c>
      <c r="D14" s="13">
        <v>1.68</v>
      </c>
      <c r="E14" s="13">
        <v>1.7</v>
      </c>
      <c r="G14" s="24" t="s">
        <v>26</v>
      </c>
      <c r="H14" s="13">
        <v>1.61</v>
      </c>
      <c r="I14" s="1">
        <f t="shared" si="0"/>
        <v>6.999999999999984E-2</v>
      </c>
      <c r="J14" s="1">
        <f t="shared" si="1"/>
        <v>2.0000000000000018E-2</v>
      </c>
    </row>
    <row r="15" spans="2:10" ht="17.25" customHeight="1" x14ac:dyDescent="0.3">
      <c r="B15" s="24" t="s">
        <v>27</v>
      </c>
      <c r="C15" s="13">
        <v>1.44</v>
      </c>
      <c r="D15" s="13">
        <v>1.55</v>
      </c>
      <c r="E15" s="13">
        <v>1.71</v>
      </c>
      <c r="G15" s="24" t="s">
        <v>27</v>
      </c>
      <c r="H15" s="13">
        <v>1.44</v>
      </c>
      <c r="I15" s="1">
        <f t="shared" si="0"/>
        <v>0.1100000000000001</v>
      </c>
      <c r="J15" s="1">
        <f t="shared" si="1"/>
        <v>0.15999999999999992</v>
      </c>
    </row>
    <row r="16" spans="2:10" ht="17.25" customHeight="1" x14ac:dyDescent="0.3">
      <c r="B16" s="24" t="s">
        <v>14</v>
      </c>
      <c r="C16" s="13">
        <v>1.62</v>
      </c>
      <c r="D16" s="13">
        <v>1.67</v>
      </c>
      <c r="E16" s="13">
        <v>1.75</v>
      </c>
      <c r="G16" s="24" t="s">
        <v>14</v>
      </c>
      <c r="H16" s="13">
        <v>1.62</v>
      </c>
      <c r="I16" s="1">
        <f t="shared" si="0"/>
        <v>4.9999999999999822E-2</v>
      </c>
      <c r="J16" s="1">
        <f t="shared" si="1"/>
        <v>8.0000000000000071E-2</v>
      </c>
    </row>
    <row r="17" spans="2:10" ht="17.25" customHeight="1" x14ac:dyDescent="0.3">
      <c r="B17" s="24" t="s">
        <v>18</v>
      </c>
      <c r="C17" s="13">
        <v>1.65</v>
      </c>
      <c r="D17" s="13">
        <v>1.68</v>
      </c>
      <c r="E17" s="13">
        <v>1.78</v>
      </c>
      <c r="G17" s="24" t="s">
        <v>18</v>
      </c>
      <c r="H17" s="13">
        <v>1.65</v>
      </c>
      <c r="I17" s="1">
        <f t="shared" si="0"/>
        <v>3.0000000000000027E-2</v>
      </c>
      <c r="J17" s="1">
        <f t="shared" si="1"/>
        <v>0.10000000000000009</v>
      </c>
    </row>
    <row r="18" spans="2:10" ht="17.25" customHeight="1" x14ac:dyDescent="0.3">
      <c r="B18" s="24" t="s">
        <v>31</v>
      </c>
      <c r="C18" s="13">
        <v>1.64</v>
      </c>
      <c r="D18" s="13">
        <v>1.74</v>
      </c>
      <c r="E18" s="13">
        <v>1.82</v>
      </c>
      <c r="G18" s="24" t="s">
        <v>31</v>
      </c>
      <c r="H18" s="13">
        <v>1.64</v>
      </c>
      <c r="I18" s="1">
        <f t="shared" si="0"/>
        <v>0.10000000000000009</v>
      </c>
      <c r="J18" s="1">
        <f t="shared" si="1"/>
        <v>8.0000000000000071E-2</v>
      </c>
    </row>
    <row r="19" spans="2:10" ht="17.25" customHeight="1" x14ac:dyDescent="0.3">
      <c r="B19" s="24" t="s">
        <v>33</v>
      </c>
      <c r="C19" s="13">
        <v>1.67</v>
      </c>
      <c r="D19" s="13">
        <v>1.77</v>
      </c>
      <c r="E19" s="13">
        <v>1.83</v>
      </c>
      <c r="G19" s="24" t="s">
        <v>33</v>
      </c>
      <c r="H19" s="13">
        <v>1.67</v>
      </c>
      <c r="I19" s="1">
        <f t="shared" si="0"/>
        <v>0.10000000000000009</v>
      </c>
      <c r="J19" s="1">
        <f t="shared" si="1"/>
        <v>6.0000000000000053E-2</v>
      </c>
    </row>
    <row r="20" spans="2:10" ht="17.25" customHeight="1" x14ac:dyDescent="0.3">
      <c r="B20" s="24" t="s">
        <v>8</v>
      </c>
      <c r="C20" s="13">
        <v>1.75</v>
      </c>
      <c r="D20" s="13">
        <v>1.8</v>
      </c>
      <c r="E20" s="13">
        <v>1.84</v>
      </c>
      <c r="G20" s="24" t="s">
        <v>8</v>
      </c>
      <c r="H20" s="13">
        <v>1.75</v>
      </c>
      <c r="I20" s="1">
        <f t="shared" si="0"/>
        <v>5.0000000000000044E-2</v>
      </c>
      <c r="J20" s="1">
        <f t="shared" si="1"/>
        <v>4.0000000000000036E-2</v>
      </c>
    </row>
    <row r="21" spans="2:10" ht="17.25" customHeight="1" x14ac:dyDescent="0.3">
      <c r="B21" s="24" t="s">
        <v>16</v>
      </c>
      <c r="C21" s="13">
        <v>1.74</v>
      </c>
      <c r="D21" s="13">
        <v>1.81</v>
      </c>
      <c r="E21" s="13">
        <v>1.84</v>
      </c>
      <c r="G21" s="24" t="s">
        <v>16</v>
      </c>
      <c r="H21" s="13">
        <v>1.74</v>
      </c>
      <c r="I21" s="1">
        <f t="shared" si="0"/>
        <v>7.0000000000000062E-2</v>
      </c>
      <c r="J21" s="1">
        <f t="shared" si="1"/>
        <v>3.0000000000000027E-2</v>
      </c>
    </row>
    <row r="22" spans="2:10" ht="17.25" customHeight="1" x14ac:dyDescent="0.3">
      <c r="B22" s="24" t="s">
        <v>23</v>
      </c>
      <c r="C22" s="13">
        <v>1.58</v>
      </c>
      <c r="D22" s="13">
        <v>1.65</v>
      </c>
      <c r="E22" s="13">
        <v>1.85</v>
      </c>
      <c r="G22" s="24" t="s">
        <v>23</v>
      </c>
      <c r="H22" s="13">
        <v>1.58</v>
      </c>
      <c r="I22" s="1">
        <f t="shared" si="0"/>
        <v>6.999999999999984E-2</v>
      </c>
      <c r="J22" s="1">
        <f t="shared" si="1"/>
        <v>0.20000000000000018</v>
      </c>
    </row>
    <row r="23" spans="2:10" ht="17.25" customHeight="1" x14ac:dyDescent="0.3">
      <c r="B23" s="24" t="s">
        <v>37</v>
      </c>
      <c r="C23" s="13">
        <v>1.8</v>
      </c>
      <c r="D23" s="13">
        <v>1.82</v>
      </c>
      <c r="E23" s="13">
        <v>1.85</v>
      </c>
      <c r="G23" s="24" t="s">
        <v>37</v>
      </c>
      <c r="H23" s="13">
        <v>1.8</v>
      </c>
      <c r="I23" s="1">
        <f t="shared" si="0"/>
        <v>2.0000000000000018E-2</v>
      </c>
      <c r="J23" s="1">
        <f t="shared" si="1"/>
        <v>3.0000000000000027E-2</v>
      </c>
    </row>
    <row r="24" spans="2:10" ht="17.25" customHeight="1" x14ac:dyDescent="0.3">
      <c r="B24" s="24" t="s">
        <v>38</v>
      </c>
      <c r="C24" s="13">
        <v>1.68</v>
      </c>
      <c r="D24" s="13">
        <v>1.8</v>
      </c>
      <c r="E24" s="13">
        <v>1.85</v>
      </c>
      <c r="G24" s="24" t="s">
        <v>38</v>
      </c>
      <c r="H24" s="13">
        <v>1.68</v>
      </c>
      <c r="I24" s="1">
        <f t="shared" si="0"/>
        <v>0.12000000000000011</v>
      </c>
      <c r="J24" s="1">
        <f t="shared" si="1"/>
        <v>5.0000000000000044E-2</v>
      </c>
    </row>
    <row r="25" spans="2:10" ht="17.25" customHeight="1" x14ac:dyDescent="0.3">
      <c r="B25" s="24" t="s">
        <v>13</v>
      </c>
      <c r="C25" s="13">
        <v>1.79</v>
      </c>
      <c r="D25" s="13">
        <v>1.8</v>
      </c>
      <c r="E25" s="13">
        <v>1.86</v>
      </c>
      <c r="G25" s="24" t="s">
        <v>13</v>
      </c>
      <c r="H25" s="13">
        <v>1.79</v>
      </c>
      <c r="I25" s="1">
        <f t="shared" si="0"/>
        <v>1.0000000000000009E-2</v>
      </c>
      <c r="J25" s="1">
        <f t="shared" si="1"/>
        <v>6.0000000000000053E-2</v>
      </c>
    </row>
    <row r="26" spans="2:10" ht="17.25" customHeight="1" x14ac:dyDescent="0.3">
      <c r="B26" s="2" t="s">
        <v>40</v>
      </c>
      <c r="C26" s="4">
        <v>1.88</v>
      </c>
      <c r="D26" s="4">
        <v>1.89</v>
      </c>
      <c r="E26" s="4">
        <v>1.92</v>
      </c>
      <c r="G26" s="2" t="s">
        <v>40</v>
      </c>
      <c r="H26" s="4">
        <v>1.88</v>
      </c>
      <c r="I26" s="1">
        <f t="shared" si="0"/>
        <v>1.0000000000000009E-2</v>
      </c>
      <c r="J26" s="1">
        <f t="shared" si="1"/>
        <v>3.0000000000000027E-2</v>
      </c>
    </row>
    <row r="27" spans="2:10" ht="17.25" customHeight="1" x14ac:dyDescent="0.3">
      <c r="B27" s="24" t="s">
        <v>32</v>
      </c>
      <c r="C27" s="13">
        <v>1.81</v>
      </c>
      <c r="D27" s="13">
        <v>1.87</v>
      </c>
      <c r="E27" s="13">
        <v>1.93</v>
      </c>
      <c r="G27" s="24" t="s">
        <v>32</v>
      </c>
      <c r="H27" s="13">
        <v>1.81</v>
      </c>
      <c r="I27" s="1">
        <f t="shared" si="0"/>
        <v>6.0000000000000053E-2</v>
      </c>
      <c r="J27" s="1">
        <f t="shared" si="1"/>
        <v>5.9999999999999831E-2</v>
      </c>
    </row>
    <row r="28" spans="2:10" ht="17.25" customHeight="1" x14ac:dyDescent="0.3">
      <c r="B28" s="24" t="s">
        <v>22</v>
      </c>
      <c r="C28" s="13">
        <v>1.87</v>
      </c>
      <c r="D28" s="13">
        <v>1.91</v>
      </c>
      <c r="E28" s="13">
        <v>1.95</v>
      </c>
      <c r="G28" s="24" t="s">
        <v>22</v>
      </c>
      <c r="H28" s="13">
        <v>1.87</v>
      </c>
      <c r="I28" s="1">
        <f t="shared" si="0"/>
        <v>3.9999999999999813E-2</v>
      </c>
      <c r="J28" s="1">
        <f t="shared" si="1"/>
        <v>4.0000000000000036E-2</v>
      </c>
    </row>
    <row r="29" spans="2:10" ht="17.25" customHeight="1" x14ac:dyDescent="0.3">
      <c r="B29" s="24" t="s">
        <v>50</v>
      </c>
      <c r="C29" s="13">
        <v>1.81</v>
      </c>
      <c r="D29" s="13">
        <v>1.89</v>
      </c>
      <c r="E29" s="13">
        <v>1.96</v>
      </c>
      <c r="G29" s="24" t="s">
        <v>50</v>
      </c>
      <c r="H29" s="13">
        <v>1.81</v>
      </c>
      <c r="I29" s="1">
        <f t="shared" si="0"/>
        <v>7.9999999999999849E-2</v>
      </c>
      <c r="J29" s="1">
        <f t="shared" si="1"/>
        <v>7.0000000000000062E-2</v>
      </c>
    </row>
    <row r="30" spans="2:10" ht="17.25" customHeight="1" x14ac:dyDescent="0.3">
      <c r="B30" s="24" t="s">
        <v>19</v>
      </c>
      <c r="C30" s="13">
        <v>1.75</v>
      </c>
      <c r="D30" s="13">
        <v>1.87</v>
      </c>
      <c r="E30" s="13">
        <v>1.97</v>
      </c>
      <c r="G30" s="24" t="s">
        <v>19</v>
      </c>
      <c r="H30" s="13">
        <v>1.75</v>
      </c>
      <c r="I30" s="1">
        <f t="shared" si="0"/>
        <v>0.12000000000000011</v>
      </c>
      <c r="J30" s="1">
        <f t="shared" si="1"/>
        <v>9.9999999999999867E-2</v>
      </c>
    </row>
    <row r="31" spans="2:10" ht="17.25" customHeight="1" x14ac:dyDescent="0.3">
      <c r="B31" s="24" t="s">
        <v>29</v>
      </c>
      <c r="C31" s="13">
        <v>1.78</v>
      </c>
      <c r="D31" s="13">
        <v>1.86</v>
      </c>
      <c r="E31" s="13">
        <v>1.97</v>
      </c>
      <c r="G31" s="24" t="s">
        <v>29</v>
      </c>
      <c r="H31" s="13">
        <v>1.78</v>
      </c>
      <c r="I31" s="1">
        <f t="shared" si="0"/>
        <v>8.0000000000000071E-2</v>
      </c>
      <c r="J31" s="1">
        <f t="shared" si="1"/>
        <v>0.10999999999999988</v>
      </c>
    </row>
    <row r="32" spans="2:10" ht="17.25" customHeight="1" x14ac:dyDescent="0.3">
      <c r="B32" s="24" t="s">
        <v>30</v>
      </c>
      <c r="C32" s="13">
        <v>1.88</v>
      </c>
      <c r="D32" s="13">
        <v>1.93</v>
      </c>
      <c r="E32" s="13">
        <v>2</v>
      </c>
      <c r="G32" s="24" t="s">
        <v>30</v>
      </c>
      <c r="H32" s="13">
        <v>1.88</v>
      </c>
      <c r="I32" s="1">
        <f t="shared" si="0"/>
        <v>5.0000000000000044E-2</v>
      </c>
      <c r="J32" s="1">
        <f t="shared" si="1"/>
        <v>7.0000000000000062E-2</v>
      </c>
    </row>
    <row r="33" spans="2:10" ht="17.25" customHeight="1" x14ac:dyDescent="0.3">
      <c r="B33" s="2" t="s">
        <v>41</v>
      </c>
      <c r="C33" s="4">
        <v>1.93</v>
      </c>
      <c r="D33" s="4">
        <v>1.97</v>
      </c>
      <c r="E33" s="4">
        <v>2.0499999999999998</v>
      </c>
      <c r="G33" s="2" t="s">
        <v>41</v>
      </c>
      <c r="H33" s="4">
        <v>1.93</v>
      </c>
      <c r="I33" s="1">
        <f t="shared" si="0"/>
        <v>4.0000000000000036E-2</v>
      </c>
      <c r="J33" s="1">
        <f t="shared" si="1"/>
        <v>7.9999999999999849E-2</v>
      </c>
    </row>
    <row r="34" spans="2:10" ht="17.25" customHeight="1" x14ac:dyDescent="0.3">
      <c r="B34" s="24" t="s">
        <v>20</v>
      </c>
      <c r="C34" s="13">
        <v>1.84</v>
      </c>
      <c r="D34" s="13">
        <v>1.93</v>
      </c>
      <c r="E34" s="13">
        <v>2.14</v>
      </c>
      <c r="G34" s="24" t="s">
        <v>20</v>
      </c>
      <c r="H34" s="13">
        <v>1.84</v>
      </c>
      <c r="I34" s="1">
        <f t="shared" si="0"/>
        <v>8.9999999999999858E-2</v>
      </c>
      <c r="J34" s="1">
        <f t="shared" si="1"/>
        <v>0.21000000000000019</v>
      </c>
    </row>
    <row r="35" spans="2:10" ht="17.25" customHeight="1" x14ac:dyDescent="0.3">
      <c r="B35" s="24" t="s">
        <v>39</v>
      </c>
      <c r="C35" s="13">
        <v>1.64</v>
      </c>
      <c r="D35" s="13">
        <v>1.8</v>
      </c>
      <c r="E35" s="13">
        <v>2.15</v>
      </c>
      <c r="G35" s="24" t="s">
        <v>39</v>
      </c>
      <c r="H35" s="13">
        <v>1.64</v>
      </c>
      <c r="I35" s="1">
        <f t="shared" si="0"/>
        <v>0.16000000000000014</v>
      </c>
      <c r="J35" s="1">
        <f t="shared" si="1"/>
        <v>0.34999999999999987</v>
      </c>
    </row>
    <row r="36" spans="2:10" ht="17.25" customHeight="1" x14ac:dyDescent="0.3">
      <c r="B36" s="24" t="s">
        <v>28</v>
      </c>
      <c r="C36" s="13">
        <v>2.13</v>
      </c>
      <c r="D36" s="13">
        <v>2.79</v>
      </c>
      <c r="E36" s="13">
        <v>3.1</v>
      </c>
      <c r="G36" s="24" t="s">
        <v>28</v>
      </c>
      <c r="H36" s="13">
        <v>2.13</v>
      </c>
      <c r="I36" s="1">
        <v>0.1</v>
      </c>
      <c r="J36" s="1">
        <v>0.12</v>
      </c>
    </row>
  </sheetData>
  <autoFilter ref="B2:J2" xr:uid="{4EFE4DEC-9B8E-43CB-9F80-54C42F381207}">
    <sortState xmlns:xlrd2="http://schemas.microsoft.com/office/spreadsheetml/2017/richdata2" ref="B3:J36">
      <sortCondition ref="E2"/>
    </sortState>
  </autoFilter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입시결과</vt:lpstr>
      <vt:lpstr>2026</vt:lpstr>
      <vt:lpstr>2025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2026-04-16T02:00:38Z</dcterms:created>
  <dcterms:modified xsi:type="dcterms:W3CDTF">2026-04-17T02:17:09Z</dcterms:modified>
</cp:coreProperties>
</file>