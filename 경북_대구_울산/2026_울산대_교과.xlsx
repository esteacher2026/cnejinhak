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4D289FE-B5D1-4D68-8CBE-E6059518B32F}" xr6:coauthVersionLast="47" xr6:coauthVersionMax="47" xr10:uidLastSave="{00000000-0000-0000-0000-000000000000}"/>
  <bookViews>
    <workbookView xWindow="38280" yWindow="-120" windowWidth="38640" windowHeight="21120" xr2:uid="{CC1CACA4-3180-45D0-A9C3-2E3B212FBF48}"/>
  </bookViews>
  <sheets>
    <sheet name="수시(학생부교과형)" sheetId="1" r:id="rId1"/>
  </sheets>
  <definedNames>
    <definedName name="_xlnm._FilterDatabase" localSheetId="0" hidden="1">'수시(학생부교과형)'!$A$4:$H$74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<sst xmlns="http://schemas.openxmlformats.org/spreadsheetml/2006/main" count="121" uniqueCount="33">
  <si>
    <r>
      <rPr>
        <b/>
        <sz val="18"/>
        <color rgb="FFFFFFFF"/>
        <rFont val="맑은 고딕"/>
        <family val="3"/>
        <charset val="129"/>
      </rPr>
      <t>2026</t>
    </r>
    <r>
      <rPr>
        <b/>
        <sz val="18"/>
        <color rgb="FFFFFFFF"/>
        <rFont val="DejaVu Sans"/>
        <family val="2"/>
      </rPr>
      <t>학년도 입시 결과 통계</t>
    </r>
  </si>
  <si>
    <r>
      <rPr>
        <b/>
        <sz val="12"/>
        <color theme="1"/>
        <rFont val="DejaVu Sans"/>
        <family val="2"/>
      </rPr>
      <t xml:space="preserve"> 울산대학교 입학관리팀: 052-259-2058</t>
    </r>
  </si>
  <si>
    <t>전형</t>
  </si>
  <si>
    <t>모집단위</t>
  </si>
  <si>
    <t>모집인원</t>
  </si>
  <si>
    <t>지원인원</t>
  </si>
  <si>
    <t>경쟁률</t>
  </si>
  <si>
    <t>최종후보순위</t>
  </si>
  <si>
    <t>평균성적</t>
  </si>
  <si>
    <r>
      <rPr>
        <b/>
        <sz val="12"/>
        <color rgb="FFFFFFFF"/>
        <rFont val="맑은 고딕"/>
        <family val="3"/>
        <charset val="129"/>
      </rPr>
      <t>70%</t>
    </r>
    <r>
      <rPr>
        <b/>
        <sz val="12"/>
        <color rgb="FFFFFFFF"/>
        <rFont val="DejaVu Sans"/>
        <family val="2"/>
      </rPr>
      <t>컷 성적</t>
    </r>
  </si>
  <si>
    <t>일반교과전형</t>
  </si>
  <si>
    <t>자율전공학부</t>
  </si>
  <si>
    <t>미래모빌리티공학부</t>
  </si>
  <si>
    <t>에너지화학공학부</t>
  </si>
  <si>
    <r>
      <rPr>
        <sz val="11"/>
        <rFont val="DejaVu Sans"/>
        <family val="2"/>
      </rPr>
      <t>신소재</t>
    </r>
    <r>
      <rPr>
        <sz val="11"/>
        <rFont val="DejaVu Sans"/>
        <family val="2"/>
        <charset val="1"/>
      </rPr>
      <t>·</t>
    </r>
    <r>
      <rPr>
        <sz val="11"/>
        <rFont val="DejaVu Sans"/>
        <family val="2"/>
      </rPr>
      <t>반도체융합학부</t>
    </r>
  </si>
  <si>
    <t>전기전자융합학부</t>
  </si>
  <si>
    <r>
      <rPr>
        <sz val="11"/>
        <rFont val="맑은 고딕"/>
        <family val="3"/>
        <charset val="129"/>
      </rPr>
      <t>ICT</t>
    </r>
    <r>
      <rPr>
        <sz val="11"/>
        <rFont val="DejaVu Sans"/>
        <family val="2"/>
      </rPr>
      <t>융합학부</t>
    </r>
  </si>
  <si>
    <t>바이오메디컬헬스학부</t>
  </si>
  <si>
    <r>
      <rPr>
        <sz val="11"/>
        <rFont val="DejaVu Sans"/>
        <family val="2"/>
      </rPr>
      <t>건축</t>
    </r>
    <r>
      <rPr>
        <sz val="11"/>
        <rFont val="DejaVu Sans"/>
        <family val="2"/>
        <charset val="1"/>
      </rPr>
      <t>·</t>
    </r>
    <r>
      <rPr>
        <sz val="11"/>
        <rFont val="DejaVu Sans"/>
        <family val="2"/>
      </rPr>
      <t>도시환경학부</t>
    </r>
  </si>
  <si>
    <t>디자인융합학부</t>
  </si>
  <si>
    <t>공공인재학부</t>
  </si>
  <si>
    <t>경영경제융합학부</t>
  </si>
  <si>
    <t>글로벌인문학부</t>
  </si>
  <si>
    <r>
      <rPr>
        <sz val="11"/>
        <rFont val="DejaVu Sans"/>
        <family val="2"/>
      </rPr>
      <t>예술학부</t>
    </r>
    <r>
      <rPr>
        <sz val="11"/>
        <rFont val="DejaVu Sans"/>
        <family val="2"/>
        <charset val="1"/>
      </rPr>
      <t>(</t>
    </r>
    <r>
      <rPr>
        <sz val="11"/>
        <rFont val="DejaVu Sans"/>
        <family val="2"/>
      </rPr>
      <t>미술</t>
    </r>
    <r>
      <rPr>
        <sz val="11"/>
        <rFont val="DejaVu Sans"/>
        <family val="2"/>
        <charset val="1"/>
      </rPr>
      <t>)</t>
    </r>
  </si>
  <si>
    <t>간호학과</t>
  </si>
  <si>
    <t>지역교과전형</t>
  </si>
  <si>
    <t>의예과</t>
  </si>
  <si>
    <t>-</t>
  </si>
  <si>
    <r>
      <rPr>
        <b/>
        <sz val="11"/>
        <rFont val="DejaVu Sans"/>
        <family val="2"/>
      </rPr>
      <t>농어촌학생</t>
    </r>
    <r>
      <rPr>
        <b/>
        <sz val="11"/>
        <rFont val="DejaVu Sans"/>
        <family val="2"/>
        <charset val="1"/>
      </rPr>
      <t>(</t>
    </r>
    <r>
      <rPr>
        <b/>
        <sz val="11"/>
        <rFont val="DejaVu Sans"/>
        <family val="2"/>
      </rPr>
      <t>정원외</t>
    </r>
    <r>
      <rPr>
        <b/>
        <sz val="11"/>
        <rFont val="DejaVu Sans"/>
        <family val="2"/>
        <charset val="1"/>
      </rPr>
      <t>)</t>
    </r>
    <r>
      <rPr>
        <b/>
        <sz val="11"/>
        <rFont val="DejaVu Sans"/>
        <family val="2"/>
      </rPr>
      <t>전형</t>
    </r>
  </si>
  <si>
    <r>
      <rPr>
        <b/>
        <sz val="11"/>
        <rFont val="DejaVu Sans"/>
        <family val="2"/>
      </rPr>
      <t>기초생활</t>
    </r>
    <r>
      <rPr>
        <b/>
        <sz val="11"/>
        <rFont val="DejaVu Sans"/>
        <family val="2"/>
        <charset val="1"/>
      </rPr>
      <t>/</t>
    </r>
    <r>
      <rPr>
        <b/>
        <sz val="11"/>
        <rFont val="DejaVu Sans"/>
        <family val="2"/>
      </rPr>
      <t>차상위</t>
    </r>
    <r>
      <rPr>
        <b/>
        <sz val="11"/>
        <rFont val="DejaVu Sans"/>
        <family val="2"/>
        <charset val="1"/>
      </rPr>
      <t>(</t>
    </r>
    <r>
      <rPr>
        <b/>
        <sz val="11"/>
        <rFont val="DejaVu Sans"/>
        <family val="2"/>
      </rPr>
      <t>정원외</t>
    </r>
    <r>
      <rPr>
        <b/>
        <sz val="11"/>
        <rFont val="DejaVu Sans"/>
        <family val="2"/>
        <charset val="1"/>
      </rPr>
      <t>)</t>
    </r>
    <r>
      <rPr>
        <b/>
        <sz val="11"/>
        <rFont val="DejaVu Sans"/>
        <family val="2"/>
      </rPr>
      <t>전형</t>
    </r>
  </si>
  <si>
    <r>
      <rPr>
        <b/>
        <sz val="11"/>
        <rFont val="DejaVu Sans"/>
        <family val="2"/>
      </rPr>
      <t>특성화고교졸업자</t>
    </r>
    <r>
      <rPr>
        <b/>
        <sz val="11"/>
        <rFont val="DejaVu Sans"/>
        <family val="2"/>
        <charset val="1"/>
      </rPr>
      <t>(</t>
    </r>
    <r>
      <rPr>
        <b/>
        <sz val="11"/>
        <rFont val="DejaVu Sans"/>
        <family val="2"/>
      </rPr>
      <t>정원외</t>
    </r>
    <r>
      <rPr>
        <b/>
        <sz val="11"/>
        <rFont val="DejaVu Sans"/>
        <family val="2"/>
        <charset val="1"/>
      </rPr>
      <t>)</t>
    </r>
    <r>
      <rPr>
        <b/>
        <sz val="11"/>
        <rFont val="DejaVu Sans"/>
        <family val="2"/>
      </rPr>
      <t>전형</t>
    </r>
  </si>
  <si>
    <t>기회균형전형</t>
    <phoneticPr fontId="3" type="noConversion"/>
  </si>
  <si>
    <r>
      <t xml:space="preserve">  </t>
    </r>
    <r>
      <rPr>
        <b/>
        <sz val="12"/>
        <rFont val="맑은 고딕"/>
        <family val="3"/>
        <charset val="129"/>
      </rPr>
      <t>※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성적산출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방법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안내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 xml:space="preserve">※
</t>
    </r>
    <r>
      <rPr>
        <b/>
        <sz val="12"/>
        <rFont val="Arial"/>
        <family val="2"/>
      </rPr>
      <t xml:space="preserve">  - </t>
    </r>
    <r>
      <rPr>
        <b/>
        <sz val="12"/>
        <rFont val="맑은 고딕"/>
        <family val="3"/>
        <charset val="129"/>
      </rPr>
      <t>전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모집단위(아래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별도) : 국어, 수학, 영어, 탐구(사회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및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과학) 교과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중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상위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10과목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성적의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평균(동일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교과에서는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최대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3과목까지만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반영함)  
   [성적산출식: ∑(상위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10개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과목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석차등급)/10]
  - 자율전공학부, 의예과, 간호학과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: 국어, 수학, 영어, 탐구(사회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및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과학) 이수단위를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반영한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전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과목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석차등급의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평균</t>
    </r>
    <r>
      <rPr>
        <b/>
        <sz val="12"/>
        <rFont val="Arial"/>
        <family val="2"/>
      </rPr>
      <t xml:space="preserve"> 
    [</t>
    </r>
    <r>
      <rPr>
        <b/>
        <sz val="12"/>
        <rFont val="맑은 고딕"/>
        <family val="3"/>
        <charset val="129"/>
      </rPr>
      <t>성적산출식: ∑(해당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교과과정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과목별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석차등급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x 이수단위)/(이수단위의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합)]
  - 특성화고교졸업자(정원외): 석차등급이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있는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전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과목의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평균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성적
 ※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평균성적, 70%컷은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울산대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최종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등록자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기준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성적</t>
    </r>
    <r>
      <rPr>
        <b/>
        <sz val="12"/>
        <rFont val="Arial"/>
        <family val="2"/>
      </rPr>
      <t xml:space="preserve"> 
</t>
    </r>
    <r>
      <rPr>
        <b/>
        <sz val="12"/>
        <rFont val="맑은 고딕"/>
        <family val="3"/>
        <charset val="129"/>
      </rPr>
      <t xml:space="preserve"> ※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최종후보순위는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등록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여부와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관계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없이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충원을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통해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최종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합격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통보를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받은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마지막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학생의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 xml:space="preserve">후보순위 </t>
    </r>
    <r>
      <rPr>
        <b/>
        <sz val="12"/>
        <rFont val="DejaVu Sans"/>
        <family val="2"/>
      </rPr>
      <t xml:space="preserve">
</t>
    </r>
    <r>
      <rPr>
        <b/>
        <sz val="12"/>
        <rFont val="맑은 고딕"/>
        <family val="3"/>
        <charset val="129"/>
      </rPr>
      <t xml:space="preserve"> ※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모집인원 및 등록인원이</t>
    </r>
    <r>
      <rPr>
        <b/>
        <sz val="12"/>
        <rFont val="Arial"/>
        <family val="2"/>
      </rPr>
      <t xml:space="preserve"> 1</t>
    </r>
    <r>
      <rPr>
        <b/>
        <sz val="12"/>
        <rFont val="맑은 고딕"/>
        <family val="3"/>
        <charset val="129"/>
      </rPr>
      <t>명인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경우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2"/>
        <charset val="129"/>
      </rPr>
      <t xml:space="preserve">전체 </t>
    </r>
    <r>
      <rPr>
        <b/>
        <sz val="12"/>
        <rFont val="맑은 고딕"/>
        <family val="3"/>
        <charset val="129"/>
      </rPr>
      <t>성적 미제공, 3명 미만인 경우 70%컷 미제공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</si>
</sst>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</font>
    <font>
      <b/>
      <sz val="18"/>
      <color rgb="FFFFFFFF"/>
      <name val="맑은 고딕"/>
      <family val="3"/>
      <charset val="129"/>
    </font>
    <font>
      <b/>
      <sz val="18"/>
      <color rgb="FFFFFFFF"/>
      <name val="DejaVu Sans"/>
      <family val="2"/>
    </font>
    <font>
      <sz val="8"/>
      <name val="돋움"/>
      <family val="3"/>
      <charset val="129"/>
    </font>
    <font>
      <b/>
      <sz val="12"/>
      <color theme="1"/>
      <name val="DejaVu Sans"/>
    </font>
    <font>
      <b/>
      <sz val="12"/>
      <color theme="1"/>
      <name val="DejaVu Sans"/>
      <family val="2"/>
    </font>
    <font>
      <b/>
      <sz val="12"/>
      <name val="DejaVu Sans"/>
      <family val="2"/>
    </font>
    <font>
      <b/>
      <sz val="12"/>
      <name val="맑은 고딕"/>
      <family val="3"/>
      <charset val="129"/>
    </font>
    <font>
      <b/>
      <sz val="12"/>
      <name val="Arial"/>
      <family val="2"/>
    </font>
    <font>
      <b/>
      <sz val="12"/>
      <color rgb="FFFFFFFF"/>
      <name val="DejaVu Sans"/>
      <family val="2"/>
    </font>
    <font>
      <b/>
      <sz val="12"/>
      <color rgb="FFFFFFFF"/>
      <name val="맑은 고딕"/>
      <family val="3"/>
      <charset val="129"/>
    </font>
    <font>
      <b/>
      <sz val="11"/>
      <name val="DejaVu Sans"/>
      <family val="2"/>
    </font>
    <font>
      <sz val="11"/>
      <name val="DejaVu Sans"/>
      <family val="2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DejaVu Sans"/>
      <family val="2"/>
      <charset val="1"/>
    </font>
    <font>
      <b/>
      <sz val="11"/>
      <name val="DejaVu Sans"/>
      <family val="2"/>
      <charset val="1"/>
    </font>
    <font>
      <b/>
      <sz val="12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79646"/>
        <bgColor rgb="FFFF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A413-49F2-41C9-ACE1-21285B64AEFC}">
  <dimension ref="A1:H74"/>
  <sheetViews>
    <sheetView tabSelected="1" topLeftCell="A10" zoomScaleNormal="100" workbookViewId="0">
      <selection activeCell="P49" sqref="P49"/>
    </sheetView>
  </sheetViews>
  <sheetFormatPr defaultColWidth="8.7109375" defaultRowHeight="15" customHeight="1"/>
  <cols>
    <col min="1" max="1" width="33.5703125" customWidth="1"/>
    <col min="2" max="2" width="40.5703125" customWidth="1"/>
    <col min="3" max="3" width="15.5703125" customWidth="1"/>
    <col min="4" max="4" width="11.28515625" customWidth="1"/>
    <col min="5" max="5" width="13" customWidth="1"/>
    <col min="6" max="6" width="16.42578125" customWidth="1"/>
    <col min="7" max="7" width="13" customWidth="1"/>
    <col min="8" max="8" width="14.42578125" bestFit="1" customWidth="1"/>
  </cols>
  <sheetData>
    <row r="1" spans="1:8" ht="39.75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 ht="21.75" customHeight="1">
      <c r="A2" s="10" t="s">
        <v>1</v>
      </c>
      <c r="B2" s="11"/>
      <c r="C2" s="11"/>
      <c r="D2" s="11"/>
      <c r="E2" s="11"/>
      <c r="F2" s="11"/>
      <c r="G2" s="11"/>
      <c r="H2" s="11"/>
    </row>
    <row r="3" spans="1:8" ht="159" customHeight="1">
      <c r="A3" s="12" t="s">
        <v>32</v>
      </c>
      <c r="B3" s="12"/>
      <c r="C3" s="12"/>
      <c r="D3" s="12"/>
      <c r="E3" s="12"/>
      <c r="F3" s="12"/>
      <c r="G3" s="12"/>
      <c r="H3" s="12"/>
    </row>
    <row r="4" spans="1:8" ht="27.7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2" t="s">
        <v>9</v>
      </c>
    </row>
    <row r="5" spans="1:8" ht="19.5" customHeight="1">
      <c r="A5" s="8" t="s">
        <v>10</v>
      </c>
      <c r="B5" s="3" t="s">
        <v>11</v>
      </c>
      <c r="C5" s="3">
        <v>24</v>
      </c>
      <c r="D5" s="3">
        <v>87</v>
      </c>
      <c r="E5" s="4">
        <f t="shared" ref="E5:E68" si="0">D5/C5</f>
        <v>3.625</v>
      </c>
      <c r="F5" s="3">
        <v>45</v>
      </c>
      <c r="G5" s="5">
        <v>3.33</v>
      </c>
      <c r="H5" s="4">
        <v>3.67</v>
      </c>
    </row>
    <row r="6" spans="1:8" ht="19.5" customHeight="1">
      <c r="A6" s="8"/>
      <c r="B6" s="3" t="s">
        <v>12</v>
      </c>
      <c r="C6" s="3">
        <v>77</v>
      </c>
      <c r="D6" s="3">
        <v>316</v>
      </c>
      <c r="E6" s="4">
        <f t="shared" si="0"/>
        <v>4.1038961038961039</v>
      </c>
      <c r="F6" s="3">
        <v>174</v>
      </c>
      <c r="G6" s="5">
        <v>3.31</v>
      </c>
      <c r="H6" s="4">
        <v>3.5</v>
      </c>
    </row>
    <row r="7" spans="1:8" ht="19.5" customHeight="1">
      <c r="A7" s="8"/>
      <c r="B7" s="3" t="s">
        <v>13</v>
      </c>
      <c r="C7" s="3">
        <v>30</v>
      </c>
      <c r="D7" s="3">
        <v>90</v>
      </c>
      <c r="E7" s="4">
        <f t="shared" si="0"/>
        <v>3</v>
      </c>
      <c r="F7" s="3">
        <v>76</v>
      </c>
      <c r="G7" s="5">
        <v>3.15</v>
      </c>
      <c r="H7" s="4">
        <v>3.7</v>
      </c>
    </row>
    <row r="8" spans="1:8" ht="19.5" customHeight="1">
      <c r="A8" s="8"/>
      <c r="B8" s="3" t="s">
        <v>14</v>
      </c>
      <c r="C8" s="3">
        <v>40</v>
      </c>
      <c r="D8" s="3">
        <v>239</v>
      </c>
      <c r="E8" s="4">
        <f t="shared" si="0"/>
        <v>5.9749999999999996</v>
      </c>
      <c r="F8" s="3">
        <v>76</v>
      </c>
      <c r="G8" s="5">
        <v>3.53</v>
      </c>
      <c r="H8" s="4">
        <v>3.7</v>
      </c>
    </row>
    <row r="9" spans="1:8" ht="19.5" customHeight="1">
      <c r="A9" s="8"/>
      <c r="B9" s="3" t="s">
        <v>15</v>
      </c>
      <c r="C9" s="3">
        <v>51</v>
      </c>
      <c r="D9" s="3">
        <v>228</v>
      </c>
      <c r="E9" s="4">
        <f t="shared" si="0"/>
        <v>4.4705882352941178</v>
      </c>
      <c r="F9" s="3">
        <v>116</v>
      </c>
      <c r="G9" s="5">
        <v>3.1</v>
      </c>
      <c r="H9" s="4">
        <v>3.3</v>
      </c>
    </row>
    <row r="10" spans="1:8" ht="19.5" customHeight="1">
      <c r="A10" s="8"/>
      <c r="B10" s="6" t="s">
        <v>16</v>
      </c>
      <c r="C10" s="3">
        <v>55</v>
      </c>
      <c r="D10" s="3">
        <v>348</v>
      </c>
      <c r="E10" s="4">
        <f t="shared" si="0"/>
        <v>6.3272727272727272</v>
      </c>
      <c r="F10" s="3">
        <v>139</v>
      </c>
      <c r="G10" s="5">
        <v>3.73</v>
      </c>
      <c r="H10" s="4">
        <v>4</v>
      </c>
    </row>
    <row r="11" spans="1:8" ht="19.5" customHeight="1">
      <c r="A11" s="8"/>
      <c r="B11" s="3" t="s">
        <v>17</v>
      </c>
      <c r="C11" s="3">
        <v>32</v>
      </c>
      <c r="D11" s="3">
        <v>112</v>
      </c>
      <c r="E11" s="4">
        <f t="shared" si="0"/>
        <v>3.5</v>
      </c>
      <c r="F11" s="3">
        <v>68</v>
      </c>
      <c r="G11" s="5">
        <v>3.57</v>
      </c>
      <c r="H11" s="4">
        <v>3.7</v>
      </c>
    </row>
    <row r="12" spans="1:8" ht="19.5" customHeight="1">
      <c r="A12" s="8"/>
      <c r="B12" s="3" t="s">
        <v>18</v>
      </c>
      <c r="C12" s="3">
        <v>46</v>
      </c>
      <c r="D12" s="3">
        <v>201</v>
      </c>
      <c r="E12" s="4">
        <f t="shared" si="0"/>
        <v>4.3695652173913047</v>
      </c>
      <c r="F12" s="3">
        <v>102</v>
      </c>
      <c r="G12" s="5">
        <v>4.26</v>
      </c>
      <c r="H12" s="4">
        <v>4.5</v>
      </c>
    </row>
    <row r="13" spans="1:8" ht="19.5" customHeight="1">
      <c r="A13" s="8"/>
      <c r="B13" s="3" t="s">
        <v>19</v>
      </c>
      <c r="C13" s="3">
        <v>20</v>
      </c>
      <c r="D13" s="3">
        <v>102</v>
      </c>
      <c r="E13" s="4">
        <f t="shared" si="0"/>
        <v>5.0999999999999996</v>
      </c>
      <c r="F13" s="3">
        <v>50</v>
      </c>
      <c r="G13" s="5">
        <v>4.01</v>
      </c>
      <c r="H13" s="4">
        <v>4.5999999999999996</v>
      </c>
    </row>
    <row r="14" spans="1:8" ht="19.5" customHeight="1">
      <c r="A14" s="8"/>
      <c r="B14" s="3" t="s">
        <v>20</v>
      </c>
      <c r="C14" s="3">
        <v>73</v>
      </c>
      <c r="D14" s="3">
        <v>219</v>
      </c>
      <c r="E14" s="4">
        <f t="shared" si="0"/>
        <v>3</v>
      </c>
      <c r="F14" s="3">
        <v>163</v>
      </c>
      <c r="G14" s="5">
        <v>4.01</v>
      </c>
      <c r="H14" s="4">
        <v>4.4000000000000004</v>
      </c>
    </row>
    <row r="15" spans="1:8" ht="19.5" customHeight="1">
      <c r="A15" s="8"/>
      <c r="B15" s="3" t="s">
        <v>21</v>
      </c>
      <c r="C15" s="3">
        <v>80</v>
      </c>
      <c r="D15" s="3">
        <v>254</v>
      </c>
      <c r="E15" s="4">
        <f t="shared" si="0"/>
        <v>3.1749999999999998</v>
      </c>
      <c r="F15" s="3">
        <v>178</v>
      </c>
      <c r="G15" s="5">
        <v>3.87</v>
      </c>
      <c r="H15" s="4">
        <v>4.3</v>
      </c>
    </row>
    <row r="16" spans="1:8" ht="19.5" customHeight="1">
      <c r="A16" s="8"/>
      <c r="B16" s="3" t="s">
        <v>22</v>
      </c>
      <c r="C16" s="3">
        <v>61</v>
      </c>
      <c r="D16" s="3">
        <v>362</v>
      </c>
      <c r="E16" s="4">
        <f t="shared" si="0"/>
        <v>5.9344262295081966</v>
      </c>
      <c r="F16" s="3">
        <v>148</v>
      </c>
      <c r="G16" s="5">
        <v>4.29</v>
      </c>
      <c r="H16" s="4">
        <v>4.7</v>
      </c>
    </row>
    <row r="17" spans="1:8" ht="19.5" customHeight="1">
      <c r="A17" s="8"/>
      <c r="B17" s="3" t="s">
        <v>23</v>
      </c>
      <c r="C17" s="3">
        <v>4</v>
      </c>
      <c r="D17" s="3">
        <v>20</v>
      </c>
      <c r="E17" s="4">
        <f t="shared" si="0"/>
        <v>5</v>
      </c>
      <c r="F17" s="3">
        <v>12</v>
      </c>
      <c r="G17" s="5">
        <v>3.55</v>
      </c>
      <c r="H17" s="4">
        <v>3.7</v>
      </c>
    </row>
    <row r="18" spans="1:8" ht="19.5" customHeight="1">
      <c r="A18" s="8"/>
      <c r="B18" s="3" t="s">
        <v>24</v>
      </c>
      <c r="C18" s="3">
        <v>24</v>
      </c>
      <c r="D18" s="3">
        <v>87</v>
      </c>
      <c r="E18" s="4">
        <f t="shared" si="0"/>
        <v>3.625</v>
      </c>
      <c r="F18" s="3">
        <v>51</v>
      </c>
      <c r="G18" s="5">
        <v>3.24</v>
      </c>
      <c r="H18" s="4">
        <v>3.37</v>
      </c>
    </row>
    <row r="19" spans="1:8" ht="19.5" customHeight="1">
      <c r="A19" s="8" t="s">
        <v>25</v>
      </c>
      <c r="B19" s="3" t="s">
        <v>11</v>
      </c>
      <c r="C19" s="3">
        <v>20</v>
      </c>
      <c r="D19" s="3">
        <v>83</v>
      </c>
      <c r="E19" s="4">
        <f t="shared" si="0"/>
        <v>4.1500000000000004</v>
      </c>
      <c r="F19" s="3">
        <v>41</v>
      </c>
      <c r="G19" s="5">
        <v>3.59</v>
      </c>
      <c r="H19" s="4">
        <v>3.87</v>
      </c>
    </row>
    <row r="20" spans="1:8" ht="19.5" customHeight="1">
      <c r="A20" s="8"/>
      <c r="B20" s="3" t="s">
        <v>12</v>
      </c>
      <c r="C20" s="3">
        <v>70</v>
      </c>
      <c r="D20" s="3">
        <v>292</v>
      </c>
      <c r="E20" s="4">
        <f t="shared" si="0"/>
        <v>4.1714285714285717</v>
      </c>
      <c r="F20" s="3">
        <v>141</v>
      </c>
      <c r="G20" s="5">
        <v>3.32</v>
      </c>
      <c r="H20" s="4">
        <v>3.6</v>
      </c>
    </row>
    <row r="21" spans="1:8" ht="19.5" customHeight="1">
      <c r="A21" s="8"/>
      <c r="B21" s="3" t="s">
        <v>13</v>
      </c>
      <c r="C21" s="3">
        <v>28</v>
      </c>
      <c r="D21" s="3">
        <v>116</v>
      </c>
      <c r="E21" s="4">
        <f t="shared" si="0"/>
        <v>4.1428571428571432</v>
      </c>
      <c r="F21" s="3">
        <v>67</v>
      </c>
      <c r="G21" s="5">
        <v>2.17</v>
      </c>
      <c r="H21" s="4">
        <v>2.5</v>
      </c>
    </row>
    <row r="22" spans="1:8" ht="19.5" customHeight="1">
      <c r="A22" s="8"/>
      <c r="B22" s="3" t="s">
        <v>14</v>
      </c>
      <c r="C22" s="3">
        <v>35</v>
      </c>
      <c r="D22" s="3">
        <v>230</v>
      </c>
      <c r="E22" s="4">
        <f t="shared" si="0"/>
        <v>6.5714285714285712</v>
      </c>
      <c r="F22" s="3">
        <v>71</v>
      </c>
      <c r="G22" s="5">
        <v>3.98</v>
      </c>
      <c r="H22" s="4">
        <v>4.0999999999999996</v>
      </c>
    </row>
    <row r="23" spans="1:8" ht="19.5" customHeight="1">
      <c r="A23" s="8"/>
      <c r="B23" s="3" t="s">
        <v>15</v>
      </c>
      <c r="C23" s="3">
        <v>42</v>
      </c>
      <c r="D23" s="3">
        <v>166</v>
      </c>
      <c r="E23" s="4">
        <f t="shared" si="0"/>
        <v>3.9523809523809526</v>
      </c>
      <c r="F23" s="3">
        <v>74</v>
      </c>
      <c r="G23" s="5">
        <v>3.07</v>
      </c>
      <c r="H23" s="4">
        <v>3.2</v>
      </c>
    </row>
    <row r="24" spans="1:8" ht="19.5" customHeight="1">
      <c r="A24" s="8"/>
      <c r="B24" s="6" t="s">
        <v>16</v>
      </c>
      <c r="C24" s="3">
        <v>56</v>
      </c>
      <c r="D24" s="3">
        <v>256</v>
      </c>
      <c r="E24" s="4">
        <f t="shared" si="0"/>
        <v>4.5714285714285712</v>
      </c>
      <c r="F24" s="3">
        <v>109</v>
      </c>
      <c r="G24" s="5">
        <v>3.9</v>
      </c>
      <c r="H24" s="4">
        <v>4.0999999999999996</v>
      </c>
    </row>
    <row r="25" spans="1:8" ht="19.5" customHeight="1">
      <c r="A25" s="8"/>
      <c r="B25" s="3" t="s">
        <v>17</v>
      </c>
      <c r="C25" s="3">
        <v>31</v>
      </c>
      <c r="D25" s="3">
        <v>128</v>
      </c>
      <c r="E25" s="4">
        <f t="shared" si="0"/>
        <v>4.129032258064516</v>
      </c>
      <c r="F25" s="3">
        <v>73</v>
      </c>
      <c r="G25" s="5">
        <v>4.0999999999999996</v>
      </c>
      <c r="H25" s="4">
        <v>4.5</v>
      </c>
    </row>
    <row r="26" spans="1:8" ht="19.5" customHeight="1">
      <c r="A26" s="8"/>
      <c r="B26" s="3" t="s">
        <v>18</v>
      </c>
      <c r="C26" s="3">
        <v>43</v>
      </c>
      <c r="D26" s="3">
        <v>200</v>
      </c>
      <c r="E26" s="4">
        <f t="shared" si="0"/>
        <v>4.6511627906976747</v>
      </c>
      <c r="F26" s="3">
        <v>91</v>
      </c>
      <c r="G26" s="5">
        <v>4.17</v>
      </c>
      <c r="H26" s="4">
        <v>4.5</v>
      </c>
    </row>
    <row r="27" spans="1:8" ht="19.5" customHeight="1">
      <c r="A27" s="8"/>
      <c r="B27" s="3" t="s">
        <v>19</v>
      </c>
      <c r="C27" s="3">
        <v>14</v>
      </c>
      <c r="D27" s="3">
        <v>78</v>
      </c>
      <c r="E27" s="4">
        <f t="shared" si="0"/>
        <v>5.5714285714285712</v>
      </c>
      <c r="F27" s="3">
        <v>32</v>
      </c>
      <c r="G27" s="5">
        <v>4.34</v>
      </c>
      <c r="H27" s="4">
        <v>4.5</v>
      </c>
    </row>
    <row r="28" spans="1:8" ht="19.5" customHeight="1">
      <c r="A28" s="8"/>
      <c r="B28" s="3" t="s">
        <v>20</v>
      </c>
      <c r="C28" s="3">
        <v>64</v>
      </c>
      <c r="D28" s="3">
        <v>241</v>
      </c>
      <c r="E28" s="4">
        <f t="shared" si="0"/>
        <v>3.765625</v>
      </c>
      <c r="F28" s="3">
        <v>149</v>
      </c>
      <c r="G28" s="5">
        <v>3.98</v>
      </c>
      <c r="H28" s="4">
        <v>4.3</v>
      </c>
    </row>
    <row r="29" spans="1:8" ht="19.5" customHeight="1">
      <c r="A29" s="8"/>
      <c r="B29" s="3" t="s">
        <v>21</v>
      </c>
      <c r="C29" s="3">
        <v>77</v>
      </c>
      <c r="D29" s="3">
        <v>263</v>
      </c>
      <c r="E29" s="4">
        <f t="shared" si="0"/>
        <v>3.4155844155844157</v>
      </c>
      <c r="F29" s="3">
        <v>159</v>
      </c>
      <c r="G29" s="5">
        <v>4.25</v>
      </c>
      <c r="H29" s="4">
        <v>4.5</v>
      </c>
    </row>
    <row r="30" spans="1:8" ht="19.5" customHeight="1">
      <c r="A30" s="8"/>
      <c r="B30" s="3" t="s">
        <v>22</v>
      </c>
      <c r="C30" s="3">
        <v>59</v>
      </c>
      <c r="D30" s="3">
        <v>356</v>
      </c>
      <c r="E30" s="4">
        <f t="shared" si="0"/>
        <v>6.0338983050847457</v>
      </c>
      <c r="F30" s="3">
        <v>153</v>
      </c>
      <c r="G30" s="5">
        <v>4.99</v>
      </c>
      <c r="H30" s="4">
        <v>5.3</v>
      </c>
    </row>
    <row r="31" spans="1:8" ht="19.5" customHeight="1">
      <c r="A31" s="8"/>
      <c r="B31" s="3" t="s">
        <v>26</v>
      </c>
      <c r="C31" s="3">
        <v>10</v>
      </c>
      <c r="D31" s="3">
        <v>74</v>
      </c>
      <c r="E31" s="4">
        <f t="shared" si="0"/>
        <v>7.4</v>
      </c>
      <c r="F31" s="3">
        <v>17</v>
      </c>
      <c r="G31" s="5">
        <v>1.02</v>
      </c>
      <c r="H31" s="4">
        <v>1.02</v>
      </c>
    </row>
    <row r="32" spans="1:8" ht="19.5" customHeight="1">
      <c r="A32" s="8"/>
      <c r="B32" s="3" t="s">
        <v>24</v>
      </c>
      <c r="C32" s="3">
        <v>13</v>
      </c>
      <c r="D32" s="3">
        <v>60</v>
      </c>
      <c r="E32" s="4">
        <f t="shared" si="0"/>
        <v>4.615384615384615</v>
      </c>
      <c r="F32" s="3">
        <v>29</v>
      </c>
      <c r="G32" s="5">
        <v>1.98</v>
      </c>
      <c r="H32" s="4">
        <v>2.06</v>
      </c>
    </row>
    <row r="33" spans="1:8" ht="19.5" customHeight="1">
      <c r="A33" s="13" t="s">
        <v>31</v>
      </c>
      <c r="B33" s="3" t="s">
        <v>12</v>
      </c>
      <c r="C33" s="3">
        <v>2</v>
      </c>
      <c r="D33" s="3">
        <v>2</v>
      </c>
      <c r="E33" s="4">
        <f t="shared" si="0"/>
        <v>1</v>
      </c>
      <c r="F33" s="3">
        <v>2</v>
      </c>
      <c r="G33" s="7" t="s">
        <v>27</v>
      </c>
      <c r="H33" s="7" t="s">
        <v>27</v>
      </c>
    </row>
    <row r="34" spans="1:8" ht="19.5" customHeight="1">
      <c r="A34" s="8"/>
      <c r="B34" s="3" t="s">
        <v>13</v>
      </c>
      <c r="C34" s="3">
        <v>1</v>
      </c>
      <c r="D34" s="3">
        <v>1</v>
      </c>
      <c r="E34" s="4">
        <f t="shared" si="0"/>
        <v>1</v>
      </c>
      <c r="F34" s="3">
        <v>1</v>
      </c>
      <c r="G34" s="7" t="s">
        <v>27</v>
      </c>
      <c r="H34" s="7" t="s">
        <v>27</v>
      </c>
    </row>
    <row r="35" spans="1:8" ht="19.5" customHeight="1">
      <c r="A35" s="8"/>
      <c r="B35" s="3" t="s">
        <v>14</v>
      </c>
      <c r="C35" s="3">
        <v>2</v>
      </c>
      <c r="D35" s="3">
        <v>3</v>
      </c>
      <c r="E35" s="4">
        <f t="shared" si="0"/>
        <v>1.5</v>
      </c>
      <c r="F35" s="3">
        <v>3</v>
      </c>
      <c r="G35" s="7" t="s">
        <v>27</v>
      </c>
      <c r="H35" s="7" t="s">
        <v>27</v>
      </c>
    </row>
    <row r="36" spans="1:8" ht="19.5" customHeight="1">
      <c r="A36" s="8"/>
      <c r="B36" s="3" t="s">
        <v>15</v>
      </c>
      <c r="C36" s="3">
        <v>1</v>
      </c>
      <c r="D36" s="3">
        <v>3</v>
      </c>
      <c r="E36" s="4">
        <f t="shared" si="0"/>
        <v>3</v>
      </c>
      <c r="F36" s="3">
        <v>2</v>
      </c>
      <c r="G36" s="7" t="s">
        <v>27</v>
      </c>
      <c r="H36" s="7" t="s">
        <v>27</v>
      </c>
    </row>
    <row r="37" spans="1:8" ht="19.5" customHeight="1">
      <c r="A37" s="8"/>
      <c r="B37" s="6" t="s">
        <v>16</v>
      </c>
      <c r="C37" s="3">
        <v>1</v>
      </c>
      <c r="D37" s="3">
        <v>1</v>
      </c>
      <c r="E37" s="4">
        <f t="shared" si="0"/>
        <v>1</v>
      </c>
      <c r="F37" s="3">
        <v>1</v>
      </c>
      <c r="G37" s="7" t="s">
        <v>27</v>
      </c>
      <c r="H37" s="7" t="s">
        <v>27</v>
      </c>
    </row>
    <row r="38" spans="1:8" ht="19.5" customHeight="1">
      <c r="A38" s="8"/>
      <c r="B38" s="3" t="s">
        <v>17</v>
      </c>
      <c r="C38" s="3">
        <v>1</v>
      </c>
      <c r="D38" s="3">
        <v>1</v>
      </c>
      <c r="E38" s="4">
        <f t="shared" si="0"/>
        <v>1</v>
      </c>
      <c r="F38" s="3">
        <v>1</v>
      </c>
      <c r="G38" s="7" t="s">
        <v>27</v>
      </c>
      <c r="H38" s="7" t="s">
        <v>27</v>
      </c>
    </row>
    <row r="39" spans="1:8" ht="19.5" customHeight="1">
      <c r="A39" s="8"/>
      <c r="B39" s="3" t="s">
        <v>20</v>
      </c>
      <c r="C39" s="3">
        <v>1</v>
      </c>
      <c r="D39" s="3">
        <v>5</v>
      </c>
      <c r="E39" s="4">
        <f t="shared" si="0"/>
        <v>5</v>
      </c>
      <c r="F39" s="3">
        <v>4</v>
      </c>
      <c r="G39" s="7" t="s">
        <v>27</v>
      </c>
      <c r="H39" s="7" t="s">
        <v>27</v>
      </c>
    </row>
    <row r="40" spans="1:8" ht="19.5" customHeight="1">
      <c r="A40" s="8"/>
      <c r="B40" s="3" t="s">
        <v>22</v>
      </c>
      <c r="C40" s="3">
        <v>1</v>
      </c>
      <c r="D40" s="3">
        <v>2</v>
      </c>
      <c r="E40" s="4">
        <f t="shared" si="0"/>
        <v>2</v>
      </c>
      <c r="F40" s="3">
        <v>2</v>
      </c>
      <c r="G40" s="7" t="s">
        <v>27</v>
      </c>
      <c r="H40" s="7" t="s">
        <v>27</v>
      </c>
    </row>
    <row r="41" spans="1:8" ht="19.5" customHeight="1">
      <c r="A41" s="8"/>
      <c r="B41" s="3" t="s">
        <v>24</v>
      </c>
      <c r="C41" s="3">
        <v>1</v>
      </c>
      <c r="D41" s="3">
        <v>8</v>
      </c>
      <c r="E41" s="4">
        <f t="shared" si="0"/>
        <v>8</v>
      </c>
      <c r="F41" s="3">
        <v>1</v>
      </c>
      <c r="G41" s="7" t="s">
        <v>27</v>
      </c>
      <c r="H41" s="7" t="s">
        <v>27</v>
      </c>
    </row>
    <row r="42" spans="1:8" ht="19.5" customHeight="1">
      <c r="A42" s="8" t="s">
        <v>28</v>
      </c>
      <c r="B42" s="3" t="s">
        <v>12</v>
      </c>
      <c r="C42" s="3">
        <v>9</v>
      </c>
      <c r="D42" s="3">
        <v>59</v>
      </c>
      <c r="E42" s="4">
        <f t="shared" si="0"/>
        <v>6.5555555555555554</v>
      </c>
      <c r="F42" s="3">
        <v>17</v>
      </c>
      <c r="G42" s="5">
        <v>3.51</v>
      </c>
      <c r="H42" s="4">
        <v>3.6</v>
      </c>
    </row>
    <row r="43" spans="1:8" ht="19.5" customHeight="1">
      <c r="A43" s="8"/>
      <c r="B43" s="3" t="s">
        <v>13</v>
      </c>
      <c r="C43" s="3">
        <v>4</v>
      </c>
      <c r="D43" s="3">
        <v>21</v>
      </c>
      <c r="E43" s="4">
        <f t="shared" si="0"/>
        <v>5.25</v>
      </c>
      <c r="F43" s="3">
        <v>11</v>
      </c>
      <c r="G43" s="5">
        <v>2.9</v>
      </c>
      <c r="H43" s="4">
        <v>3</v>
      </c>
    </row>
    <row r="44" spans="1:8" ht="19.5" customHeight="1">
      <c r="A44" s="8"/>
      <c r="B44" s="3" t="s">
        <v>14</v>
      </c>
      <c r="C44" s="3">
        <v>4</v>
      </c>
      <c r="D44" s="3">
        <v>20</v>
      </c>
      <c r="E44" s="4">
        <f t="shared" si="0"/>
        <v>5</v>
      </c>
      <c r="F44" s="3">
        <v>8</v>
      </c>
      <c r="G44" s="5">
        <v>3.5</v>
      </c>
      <c r="H44" s="4">
        <v>3.5</v>
      </c>
    </row>
    <row r="45" spans="1:8" ht="19.5" customHeight="1">
      <c r="A45" s="8"/>
      <c r="B45" s="3" t="s">
        <v>15</v>
      </c>
      <c r="C45" s="3">
        <v>5</v>
      </c>
      <c r="D45" s="3">
        <v>19</v>
      </c>
      <c r="E45" s="4">
        <f t="shared" si="0"/>
        <v>3.8</v>
      </c>
      <c r="F45" s="3">
        <v>10</v>
      </c>
      <c r="G45" s="5">
        <v>3.92</v>
      </c>
      <c r="H45" s="4">
        <v>4.7</v>
      </c>
    </row>
    <row r="46" spans="1:8" ht="19.5" customHeight="1">
      <c r="A46" s="8"/>
      <c r="B46" s="6" t="s">
        <v>16</v>
      </c>
      <c r="C46" s="3">
        <v>6</v>
      </c>
      <c r="D46" s="3">
        <v>35</v>
      </c>
      <c r="E46" s="4">
        <f t="shared" si="0"/>
        <v>5.833333333333333</v>
      </c>
      <c r="F46" s="3">
        <v>15</v>
      </c>
      <c r="G46" s="5">
        <v>4.2300000000000004</v>
      </c>
      <c r="H46" s="4">
        <v>4.4000000000000004</v>
      </c>
    </row>
    <row r="47" spans="1:8" ht="19.5" customHeight="1">
      <c r="A47" s="8"/>
      <c r="B47" s="3" t="s">
        <v>17</v>
      </c>
      <c r="C47" s="3">
        <v>4</v>
      </c>
      <c r="D47" s="3">
        <v>20</v>
      </c>
      <c r="E47" s="4">
        <f t="shared" si="0"/>
        <v>5</v>
      </c>
      <c r="F47" s="3">
        <v>9</v>
      </c>
      <c r="G47" s="5">
        <v>4.07</v>
      </c>
      <c r="H47" s="4">
        <v>4.5999999999999996</v>
      </c>
    </row>
    <row r="48" spans="1:8" ht="19.5" customHeight="1">
      <c r="A48" s="8"/>
      <c r="B48" s="3" t="s">
        <v>18</v>
      </c>
      <c r="C48" s="3">
        <v>7</v>
      </c>
      <c r="D48" s="3">
        <v>49</v>
      </c>
      <c r="E48" s="4">
        <f t="shared" si="0"/>
        <v>7</v>
      </c>
      <c r="F48" s="3">
        <v>17</v>
      </c>
      <c r="G48" s="5">
        <v>4.67</v>
      </c>
      <c r="H48" s="4">
        <v>4.9000000000000004</v>
      </c>
    </row>
    <row r="49" spans="1:8" ht="19.5" customHeight="1">
      <c r="A49" s="8"/>
      <c r="B49" s="3" t="s">
        <v>19</v>
      </c>
      <c r="C49" s="3">
        <v>5</v>
      </c>
      <c r="D49" s="3">
        <v>29</v>
      </c>
      <c r="E49" s="4">
        <f t="shared" si="0"/>
        <v>5.8</v>
      </c>
      <c r="F49" s="3">
        <v>7</v>
      </c>
      <c r="G49" s="5">
        <v>4.3</v>
      </c>
      <c r="H49" s="4">
        <v>4.5999999999999996</v>
      </c>
    </row>
    <row r="50" spans="1:8" ht="19.5" customHeight="1">
      <c r="A50" s="8"/>
      <c r="B50" s="3" t="s">
        <v>20</v>
      </c>
      <c r="C50" s="3">
        <v>10</v>
      </c>
      <c r="D50" s="3">
        <v>41</v>
      </c>
      <c r="E50" s="4">
        <f t="shared" si="0"/>
        <v>4.0999999999999996</v>
      </c>
      <c r="F50" s="3">
        <v>25</v>
      </c>
      <c r="G50" s="5">
        <v>4.96</v>
      </c>
      <c r="H50" s="4">
        <v>5</v>
      </c>
    </row>
    <row r="51" spans="1:8" ht="19.5" customHeight="1">
      <c r="A51" s="8"/>
      <c r="B51" s="3" t="s">
        <v>21</v>
      </c>
      <c r="C51" s="3">
        <v>9</v>
      </c>
      <c r="D51" s="3">
        <v>24</v>
      </c>
      <c r="E51" s="4">
        <f t="shared" si="0"/>
        <v>2.6666666666666665</v>
      </c>
      <c r="F51" s="3">
        <v>15</v>
      </c>
      <c r="G51" s="5">
        <v>4.59</v>
      </c>
      <c r="H51" s="4">
        <v>4.7</v>
      </c>
    </row>
    <row r="52" spans="1:8" ht="19.5" customHeight="1">
      <c r="A52" s="8"/>
      <c r="B52" s="3" t="s">
        <v>22</v>
      </c>
      <c r="C52" s="3">
        <v>9</v>
      </c>
      <c r="D52" s="3">
        <v>49</v>
      </c>
      <c r="E52" s="4">
        <f t="shared" si="0"/>
        <v>5.4444444444444446</v>
      </c>
      <c r="F52" s="3">
        <v>20</v>
      </c>
      <c r="G52" s="5">
        <v>4.26</v>
      </c>
      <c r="H52" s="4">
        <v>4.5</v>
      </c>
    </row>
    <row r="53" spans="1:8" ht="19.5" customHeight="1">
      <c r="A53" s="8"/>
      <c r="B53" s="3" t="s">
        <v>24</v>
      </c>
      <c r="C53" s="3">
        <v>3</v>
      </c>
      <c r="D53" s="3">
        <v>22</v>
      </c>
      <c r="E53" s="4">
        <f t="shared" si="0"/>
        <v>7.333333333333333</v>
      </c>
      <c r="F53" s="3">
        <v>5</v>
      </c>
      <c r="G53" s="5">
        <v>1.63</v>
      </c>
      <c r="H53" s="7" t="s">
        <v>27</v>
      </c>
    </row>
    <row r="54" spans="1:8" ht="19.5" customHeight="1">
      <c r="A54" s="8" t="s">
        <v>29</v>
      </c>
      <c r="B54" s="3" t="s">
        <v>12</v>
      </c>
      <c r="C54" s="3">
        <v>4</v>
      </c>
      <c r="D54" s="3">
        <v>18</v>
      </c>
      <c r="E54" s="4">
        <f t="shared" si="0"/>
        <v>4.5</v>
      </c>
      <c r="F54" s="3">
        <v>6</v>
      </c>
      <c r="G54" s="5">
        <v>3.53</v>
      </c>
      <c r="H54" s="4">
        <v>3.7</v>
      </c>
    </row>
    <row r="55" spans="1:8" ht="19.5" customHeight="1">
      <c r="A55" s="8"/>
      <c r="B55" s="3" t="s">
        <v>13</v>
      </c>
      <c r="C55" s="3">
        <v>2</v>
      </c>
      <c r="D55" s="3">
        <v>10</v>
      </c>
      <c r="E55" s="4">
        <f t="shared" si="0"/>
        <v>5</v>
      </c>
      <c r="F55" s="3">
        <v>7</v>
      </c>
      <c r="G55" s="5">
        <v>3.15</v>
      </c>
      <c r="H55" s="7" t="s">
        <v>27</v>
      </c>
    </row>
    <row r="56" spans="1:8" ht="19.5" customHeight="1">
      <c r="A56" s="8"/>
      <c r="B56" s="3" t="s">
        <v>14</v>
      </c>
      <c r="C56" s="3">
        <v>2</v>
      </c>
      <c r="D56" s="3">
        <v>11</v>
      </c>
      <c r="E56" s="4">
        <f t="shared" si="0"/>
        <v>5.5</v>
      </c>
      <c r="F56" s="3">
        <v>2</v>
      </c>
      <c r="G56" s="5">
        <v>3.4</v>
      </c>
      <c r="H56" s="7" t="s">
        <v>27</v>
      </c>
    </row>
    <row r="57" spans="1:8" ht="19.5" customHeight="1">
      <c r="A57" s="8"/>
      <c r="B57" s="3" t="s">
        <v>15</v>
      </c>
      <c r="C57" s="3">
        <v>3</v>
      </c>
      <c r="D57" s="3">
        <v>12</v>
      </c>
      <c r="E57" s="4">
        <f t="shared" si="0"/>
        <v>4</v>
      </c>
      <c r="F57" s="3">
        <v>7</v>
      </c>
      <c r="G57" s="5">
        <v>4.17</v>
      </c>
      <c r="H57" s="7" t="s">
        <v>27</v>
      </c>
    </row>
    <row r="58" spans="1:8" ht="19.5" customHeight="1">
      <c r="A58" s="8"/>
      <c r="B58" s="6" t="s">
        <v>16</v>
      </c>
      <c r="C58" s="3">
        <v>4</v>
      </c>
      <c r="D58" s="3">
        <v>13</v>
      </c>
      <c r="E58" s="4">
        <f t="shared" si="0"/>
        <v>3.25</v>
      </c>
      <c r="F58" s="3">
        <v>5</v>
      </c>
      <c r="G58" s="5">
        <v>4.3</v>
      </c>
      <c r="H58" s="4">
        <v>4.5</v>
      </c>
    </row>
    <row r="59" spans="1:8" ht="19.5" customHeight="1">
      <c r="A59" s="8"/>
      <c r="B59" s="3" t="s">
        <v>17</v>
      </c>
      <c r="C59" s="3">
        <v>2</v>
      </c>
      <c r="D59" s="3">
        <v>14</v>
      </c>
      <c r="E59" s="4">
        <f t="shared" si="0"/>
        <v>7</v>
      </c>
      <c r="F59" s="3">
        <v>5</v>
      </c>
      <c r="G59" s="5">
        <v>5</v>
      </c>
      <c r="H59" s="7" t="s">
        <v>27</v>
      </c>
    </row>
    <row r="60" spans="1:8" ht="19.5" customHeight="1">
      <c r="A60" s="8"/>
      <c r="B60" s="3" t="s">
        <v>18</v>
      </c>
      <c r="C60" s="3">
        <v>2</v>
      </c>
      <c r="D60" s="3">
        <v>7</v>
      </c>
      <c r="E60" s="4">
        <f t="shared" si="0"/>
        <v>3.5</v>
      </c>
      <c r="F60" s="3">
        <v>2</v>
      </c>
      <c r="G60" s="5">
        <v>4.0999999999999996</v>
      </c>
      <c r="H60" s="7" t="s">
        <v>27</v>
      </c>
    </row>
    <row r="61" spans="1:8" ht="19.5" customHeight="1">
      <c r="A61" s="8"/>
      <c r="B61" s="3" t="s">
        <v>20</v>
      </c>
      <c r="C61" s="3">
        <v>5</v>
      </c>
      <c r="D61" s="3">
        <v>16</v>
      </c>
      <c r="E61" s="4">
        <f t="shared" si="0"/>
        <v>3.2</v>
      </c>
      <c r="F61" s="3">
        <v>11</v>
      </c>
      <c r="G61" s="5">
        <v>4</v>
      </c>
      <c r="H61" s="4">
        <v>4.5</v>
      </c>
    </row>
    <row r="62" spans="1:8" ht="19.5" customHeight="1">
      <c r="A62" s="8"/>
      <c r="B62" s="3" t="s">
        <v>21</v>
      </c>
      <c r="C62" s="3">
        <v>4</v>
      </c>
      <c r="D62" s="3">
        <v>19</v>
      </c>
      <c r="E62" s="4">
        <f t="shared" si="0"/>
        <v>4.75</v>
      </c>
      <c r="F62" s="3">
        <v>8</v>
      </c>
      <c r="G62" s="5">
        <v>3.1</v>
      </c>
      <c r="H62" s="4">
        <v>3.4</v>
      </c>
    </row>
    <row r="63" spans="1:8" ht="19.5" customHeight="1">
      <c r="A63" s="8"/>
      <c r="B63" s="3" t="s">
        <v>22</v>
      </c>
      <c r="C63" s="3">
        <v>4</v>
      </c>
      <c r="D63" s="3">
        <v>23</v>
      </c>
      <c r="E63" s="4">
        <f t="shared" si="0"/>
        <v>5.75</v>
      </c>
      <c r="F63" s="3">
        <v>5</v>
      </c>
      <c r="G63" s="5">
        <v>5.25</v>
      </c>
      <c r="H63" s="4">
        <v>5.7</v>
      </c>
    </row>
    <row r="64" spans="1:8" ht="19.5" customHeight="1">
      <c r="A64" s="8"/>
      <c r="B64" s="3" t="s">
        <v>24</v>
      </c>
      <c r="C64" s="3">
        <v>1</v>
      </c>
      <c r="D64" s="3">
        <v>20</v>
      </c>
      <c r="E64" s="4">
        <f t="shared" si="0"/>
        <v>20</v>
      </c>
      <c r="F64" s="3">
        <v>3</v>
      </c>
      <c r="G64" s="7" t="s">
        <v>27</v>
      </c>
      <c r="H64" s="7" t="s">
        <v>27</v>
      </c>
    </row>
    <row r="65" spans="1:8" ht="19.5" customHeight="1">
      <c r="A65" s="8" t="s">
        <v>30</v>
      </c>
      <c r="B65" s="3" t="s">
        <v>12</v>
      </c>
      <c r="C65" s="3">
        <v>3</v>
      </c>
      <c r="D65" s="3">
        <v>16</v>
      </c>
      <c r="E65" s="4">
        <f t="shared" si="0"/>
        <v>5.333333333333333</v>
      </c>
      <c r="F65" s="3">
        <v>7</v>
      </c>
      <c r="G65" s="5">
        <v>2.98</v>
      </c>
      <c r="H65" s="7" t="s">
        <v>27</v>
      </c>
    </row>
    <row r="66" spans="1:8" ht="19.5" customHeight="1">
      <c r="A66" s="8"/>
      <c r="B66" s="3" t="s">
        <v>13</v>
      </c>
      <c r="C66" s="3">
        <v>2</v>
      </c>
      <c r="D66" s="3">
        <v>11</v>
      </c>
      <c r="E66" s="4">
        <f t="shared" si="0"/>
        <v>5.5</v>
      </c>
      <c r="F66" s="3">
        <v>5</v>
      </c>
      <c r="G66" s="5">
        <v>3.31</v>
      </c>
      <c r="H66" s="7" t="s">
        <v>27</v>
      </c>
    </row>
    <row r="67" spans="1:8" ht="19.5" customHeight="1">
      <c r="A67" s="8"/>
      <c r="B67" s="3" t="s">
        <v>14</v>
      </c>
      <c r="C67" s="3">
        <v>2</v>
      </c>
      <c r="D67" s="3">
        <v>20</v>
      </c>
      <c r="E67" s="4">
        <f t="shared" si="0"/>
        <v>10</v>
      </c>
      <c r="F67" s="3">
        <v>3</v>
      </c>
      <c r="G67" s="5">
        <v>2.1</v>
      </c>
      <c r="H67" s="7" t="s">
        <v>27</v>
      </c>
    </row>
    <row r="68" spans="1:8" ht="19.5" customHeight="1">
      <c r="A68" s="8"/>
      <c r="B68" s="3" t="s">
        <v>15</v>
      </c>
      <c r="C68" s="3">
        <v>3</v>
      </c>
      <c r="D68" s="3">
        <v>16</v>
      </c>
      <c r="E68" s="4">
        <f t="shared" si="0"/>
        <v>5.333333333333333</v>
      </c>
      <c r="F68" s="3">
        <v>6</v>
      </c>
      <c r="G68" s="5">
        <v>1.6</v>
      </c>
      <c r="H68" s="7" t="s">
        <v>27</v>
      </c>
    </row>
    <row r="69" spans="1:8" ht="19.5" customHeight="1">
      <c r="A69" s="8"/>
      <c r="B69" s="6" t="s">
        <v>16</v>
      </c>
      <c r="C69" s="3">
        <v>3</v>
      </c>
      <c r="D69" s="3">
        <v>12</v>
      </c>
      <c r="E69" s="4">
        <f t="shared" ref="E69:E74" si="1">D69/C69</f>
        <v>4</v>
      </c>
      <c r="F69" s="3">
        <v>5</v>
      </c>
      <c r="G69" s="5">
        <v>3.1</v>
      </c>
      <c r="H69" s="7" t="s">
        <v>27</v>
      </c>
    </row>
    <row r="70" spans="1:8" ht="19.5" customHeight="1">
      <c r="A70" s="8"/>
      <c r="B70" s="3" t="s">
        <v>17</v>
      </c>
      <c r="C70" s="3">
        <v>2</v>
      </c>
      <c r="D70" s="3">
        <v>4</v>
      </c>
      <c r="E70" s="4">
        <f t="shared" si="1"/>
        <v>2</v>
      </c>
      <c r="F70" s="3">
        <v>4</v>
      </c>
      <c r="G70" s="5">
        <v>5.38</v>
      </c>
      <c r="H70" s="7" t="s">
        <v>27</v>
      </c>
    </row>
    <row r="71" spans="1:8" ht="19.5" customHeight="1">
      <c r="A71" s="8"/>
      <c r="B71" s="3" t="s">
        <v>18</v>
      </c>
      <c r="C71" s="3">
        <v>4</v>
      </c>
      <c r="D71" s="3">
        <v>22</v>
      </c>
      <c r="E71" s="4">
        <f t="shared" si="1"/>
        <v>5.5</v>
      </c>
      <c r="F71" s="3">
        <v>12</v>
      </c>
      <c r="G71" s="5">
        <v>1.88</v>
      </c>
      <c r="H71" s="4">
        <v>1.88</v>
      </c>
    </row>
    <row r="72" spans="1:8" ht="19.5" customHeight="1">
      <c r="A72" s="8"/>
      <c r="B72" s="3" t="s">
        <v>19</v>
      </c>
      <c r="C72" s="3">
        <v>4</v>
      </c>
      <c r="D72" s="3">
        <v>15</v>
      </c>
      <c r="E72" s="4">
        <f t="shared" si="1"/>
        <v>3.75</v>
      </c>
      <c r="F72" s="3">
        <v>11</v>
      </c>
      <c r="G72" s="5">
        <v>2.72</v>
      </c>
      <c r="H72" s="4">
        <v>2.66</v>
      </c>
    </row>
    <row r="73" spans="1:8" ht="19.5" customHeight="1">
      <c r="A73" s="8"/>
      <c r="B73" s="3" t="s">
        <v>21</v>
      </c>
      <c r="C73" s="3">
        <v>4</v>
      </c>
      <c r="D73" s="3">
        <v>40</v>
      </c>
      <c r="E73" s="4">
        <f t="shared" si="1"/>
        <v>10</v>
      </c>
      <c r="F73" s="3">
        <v>10</v>
      </c>
      <c r="G73" s="5">
        <v>2.2400000000000002</v>
      </c>
      <c r="H73" s="4">
        <v>2.4500000000000002</v>
      </c>
    </row>
    <row r="74" spans="1:8" ht="19.5" customHeight="1">
      <c r="A74" s="8"/>
      <c r="B74" s="3" t="s">
        <v>22</v>
      </c>
      <c r="C74" s="3">
        <v>1</v>
      </c>
      <c r="D74" s="3">
        <v>5</v>
      </c>
      <c r="E74" s="4">
        <f t="shared" si="1"/>
        <v>5</v>
      </c>
      <c r="F74" s="3">
        <v>1</v>
      </c>
      <c r="G74" s="7" t="s">
        <v>27</v>
      </c>
      <c r="H74" s="7" t="s">
        <v>27</v>
      </c>
    </row>
  </sheetData>
  <sheetProtection algorithmName="SHA-512" hashValue="gqSHl/wtnoViKCONEXgjU510fc7EgSV3Vr5rGTZxAvhY0p4aHEGwJOSNiipWonI+jwQ82eKverJPrvJ9mtm6WQ==" saltValue="UvdzM5V/e3Tf4oDhjJKrkg==" spinCount="100000" sheet="1" objects="1" scenarios="1" insertColumns="0" insertRows="0" insertHyperlinks="0" deleteColumns="0" deleteRows="0"/>
  <mergeCells count="9">
    <mergeCell ref="A42:A53"/>
    <mergeCell ref="A54:A64"/>
    <mergeCell ref="A65:A74"/>
    <mergeCell ref="A1:H1"/>
    <mergeCell ref="A2:H2"/>
    <mergeCell ref="A3:H3"/>
    <mergeCell ref="A5:A18"/>
    <mergeCell ref="A19:A32"/>
    <mergeCell ref="A33:A41"/>
  </mergeCells>
  <phoneticPr fontId="3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수시(학생부교과형)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정다영</dc:creator>
  <cp:lastModifiedBy>정다영</cp:lastModifiedBy>
  <dcterms:created xsi:type="dcterms:W3CDTF">2026-04-06T05:40:56Z</dcterms:created>
  <dcterms:modified xsi:type="dcterms:W3CDTF">2026-04-06T07:54:20Z</dcterms:modified>
</cp:coreProperties>
</file>