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4CD15C3-7C3A-4971-8FED-C7AA5F5C4A86}" xr6:coauthVersionLast="47" xr6:coauthVersionMax="47" xr10:uidLastSave="{00000000-0000-0000-0000-000000000000}"/>
  <bookViews>
    <workbookView xWindow="38280" yWindow="-120" windowWidth="38640" windowHeight="21120" xr2:uid="{4A36AA6D-2313-48D0-A794-929ADA1ACC3E}"/>
  </bookViews>
  <sheets>
    <sheet name="수시(학생부종합형)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<sst xmlns="http://schemas.openxmlformats.org/spreadsheetml/2006/main" count="43" uniqueCount="27">
  <si>
    <r>
      <rPr>
        <b/>
        <sz val="18"/>
        <color rgb="FFFFFFFF"/>
        <rFont val="맑은 고딕"/>
        <family val="3"/>
        <charset val="129"/>
      </rPr>
      <t>2026</t>
    </r>
    <r>
      <rPr>
        <b/>
        <sz val="18"/>
        <color rgb="FFFFFFFF"/>
        <rFont val="DejaVu Sans"/>
        <family val="2"/>
      </rPr>
      <t>학년도 입시 결과 통계</t>
    </r>
  </si>
  <si>
    <r>
      <rPr>
        <b/>
        <sz val="12"/>
        <color theme="1"/>
        <rFont val="맑은 고딕"/>
        <family val="3"/>
        <charset val="129"/>
      </rPr>
      <t>울산대학교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입학관리팀: 052-259-2058</t>
    </r>
    <phoneticPr fontId="3" type="noConversion"/>
  </si>
  <si>
    <t xml:space="preserve"> ※ 성적 산출 방법 안내 ※
 - 전 모집단위 : 국어, 수학, 영어, 탐구(사회 및 과학) 전 과목 성적의 평균(이수단위 미반영)
 - 학생부종합형은 교과 성적 순으로 학생을 선발하지 않지만 수험생 편의를 위해 등록자 기준 통계치를 산출하여 제공함
※ 평균성적은 울산대 최종 등록자 기준 성적 
※ 최종후보순위는 등록 여부와 관계 없이 충원을 통해 최종 합격 통보를 받은 마지막 학생의 후보순위 </t>
    <phoneticPr fontId="3" type="noConversion"/>
  </si>
  <si>
    <t>전형</t>
  </si>
  <si>
    <t>모집단위</t>
  </si>
  <si>
    <t>모집인원</t>
  </si>
  <si>
    <t>지원인원</t>
  </si>
  <si>
    <t>경쟁률</t>
  </si>
  <si>
    <t>최종후보순위</t>
  </si>
  <si>
    <t>평균성적</t>
  </si>
  <si>
    <t>잠재역량전형</t>
  </si>
  <si>
    <t>자율전공학부</t>
  </si>
  <si>
    <t>미래모빌리티공학부</t>
  </si>
  <si>
    <t>에너지화학공학부</t>
  </si>
  <si>
    <r>
      <rPr>
        <sz val="11"/>
        <rFont val="DejaVu Sans"/>
        <family val="2"/>
      </rPr>
      <t>신소재</t>
    </r>
    <r>
      <rPr>
        <sz val="11"/>
        <rFont val="맑은 고딕"/>
        <family val="3"/>
        <charset val="129"/>
      </rPr>
      <t>·</t>
    </r>
    <r>
      <rPr>
        <sz val="11"/>
        <rFont val="DejaVu Sans"/>
        <family val="2"/>
      </rPr>
      <t>반도체융합학부</t>
    </r>
  </si>
  <si>
    <t>전기전자융합학부</t>
  </si>
  <si>
    <r>
      <rPr>
        <sz val="11"/>
        <rFont val="맑은 고딕"/>
        <family val="3"/>
        <charset val="129"/>
      </rPr>
      <t>ICT</t>
    </r>
    <r>
      <rPr>
        <sz val="11"/>
        <rFont val="DejaVu Sans"/>
        <family val="2"/>
      </rPr>
      <t>융합학부</t>
    </r>
  </si>
  <si>
    <t>바이오메디컬헬스학부</t>
  </si>
  <si>
    <r>
      <rPr>
        <sz val="11"/>
        <rFont val="DejaVu Sans"/>
        <family val="2"/>
      </rPr>
      <t>건축</t>
    </r>
    <r>
      <rPr>
        <sz val="11"/>
        <rFont val="맑은 고딕"/>
        <family val="3"/>
        <charset val="129"/>
      </rPr>
      <t>·</t>
    </r>
    <r>
      <rPr>
        <sz val="11"/>
        <rFont val="DejaVu Sans"/>
        <family val="2"/>
      </rPr>
      <t>도시환경학부</t>
    </r>
  </si>
  <si>
    <t>디자인융합학부</t>
  </si>
  <si>
    <t>공공인재학부</t>
  </si>
  <si>
    <t>경영경제융합학부</t>
  </si>
  <si>
    <t>글로벌인문학부</t>
  </si>
  <si>
    <t>의예과</t>
  </si>
  <si>
    <t>간호학과</t>
  </si>
  <si>
    <t>지역인재전형</t>
  </si>
  <si>
    <r>
      <rPr>
        <b/>
        <sz val="11"/>
        <rFont val="DejaVu Sans"/>
        <family val="2"/>
      </rPr>
      <t>지역인재</t>
    </r>
    <r>
      <rPr>
        <b/>
        <sz val="11"/>
        <rFont val="맑은 고딕"/>
        <family val="3"/>
        <charset val="129"/>
      </rPr>
      <t>(</t>
    </r>
    <r>
      <rPr>
        <b/>
        <sz val="11"/>
        <rFont val="DejaVu Sans"/>
        <family val="2"/>
      </rPr>
      <t>기초생활</t>
    </r>
    <r>
      <rPr>
        <b/>
        <sz val="11"/>
        <rFont val="맑은 고딕"/>
        <family val="3"/>
        <charset val="129"/>
      </rPr>
      <t>/</t>
    </r>
    <r>
      <rPr>
        <b/>
        <sz val="11"/>
        <rFont val="DejaVu Sans"/>
        <family val="2"/>
      </rPr>
      <t>차상위</t>
    </r>
    <r>
      <rPr>
        <b/>
        <sz val="11"/>
        <rFont val="맑은 고딕"/>
        <family val="3"/>
        <charset val="129"/>
      </rPr>
      <t>)</t>
    </r>
    <r>
      <rPr>
        <b/>
        <sz val="11"/>
        <rFont val="DejaVu Sans"/>
        <family val="2"/>
      </rPr>
      <t>전형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</si>
</sst>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8"/>
      <color rgb="FFFFFFFF"/>
      <name val="맑은 고딕"/>
      <family val="3"/>
      <charset val="129"/>
    </font>
    <font>
      <b/>
      <sz val="18"/>
      <color rgb="FFFFFFFF"/>
      <name val="DejaVu Sans"/>
      <family val="2"/>
    </font>
    <font>
      <sz val="8"/>
      <name val="돋움"/>
      <family val="3"/>
      <charset val="129"/>
    </font>
    <font>
      <b/>
      <sz val="12"/>
      <color theme="1"/>
      <name val="DejaVu Sans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Arial"/>
      <family val="2"/>
    </font>
    <font>
      <b/>
      <sz val="12"/>
      <color theme="1"/>
      <name val="DejaVu Sans"/>
      <family val="2"/>
    </font>
    <font>
      <b/>
      <sz val="12"/>
      <name val="맑은 고딕"/>
      <family val="3"/>
      <charset val="129"/>
    </font>
    <font>
      <b/>
      <sz val="12"/>
      <name val="DejaVu Sans"/>
      <family val="2"/>
    </font>
    <font>
      <b/>
      <sz val="12"/>
      <color rgb="FFFFFFFF"/>
      <name val="DejaVu Sans"/>
      <family val="2"/>
    </font>
    <font>
      <b/>
      <sz val="11"/>
      <name val="DejaVu Sans"/>
      <family val="2"/>
    </font>
    <font>
      <sz val="11"/>
      <name val="DejaVu Sans"/>
      <family val="2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FBF3-76EA-4B13-94B0-CBE324D2E10A}">
  <dimension ref="A1:G34"/>
  <sheetViews>
    <sheetView tabSelected="1" zoomScaleNormal="100" workbookViewId="0">
      <selection activeCell="K11" sqref="K11"/>
    </sheetView>
  </sheetViews>
  <sheetFormatPr defaultColWidth="8.7109375" defaultRowHeight="15" customHeight="1"/>
  <cols>
    <col min="1" max="1" width="34.7109375" bestFit="1" customWidth="1"/>
    <col min="2" max="2" width="40.5703125" customWidth="1"/>
    <col min="3" max="3" width="15.5703125" customWidth="1"/>
    <col min="4" max="5" width="13" customWidth="1"/>
    <col min="6" max="6" width="16.42578125" bestFit="1" customWidth="1"/>
    <col min="7" max="7" width="11.28515625" bestFit="1" customWidth="1"/>
  </cols>
  <sheetData>
    <row r="1" spans="1:7" ht="39.75" customHeight="1">
      <c r="A1" s="6" t="s">
        <v>0</v>
      </c>
      <c r="B1" s="6"/>
      <c r="C1" s="6"/>
      <c r="D1" s="6"/>
      <c r="E1" s="6"/>
      <c r="F1" s="6"/>
      <c r="G1" s="6"/>
    </row>
    <row r="2" spans="1:7" ht="21.75" customHeight="1">
      <c r="A2" s="7" t="s">
        <v>1</v>
      </c>
      <c r="B2" s="8"/>
      <c r="C2" s="8"/>
      <c r="D2" s="8"/>
      <c r="E2" s="8"/>
      <c r="F2" s="8"/>
      <c r="G2" s="8"/>
    </row>
    <row r="3" spans="1:7" ht="109.5" customHeight="1">
      <c r="A3" s="9" t="s">
        <v>2</v>
      </c>
      <c r="B3" s="10"/>
      <c r="C3" s="10"/>
      <c r="D3" s="10"/>
      <c r="E3" s="10"/>
      <c r="F3" s="10"/>
      <c r="G3" s="10"/>
    </row>
    <row r="4" spans="1:7" ht="27.7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9.5" customHeight="1">
      <c r="A5" s="11" t="s">
        <v>10</v>
      </c>
      <c r="B5" s="2" t="s">
        <v>11</v>
      </c>
      <c r="C5" s="2">
        <v>30</v>
      </c>
      <c r="D5" s="2">
        <v>95</v>
      </c>
      <c r="E5" s="3">
        <f t="shared" ref="E5:E34" si="0">D5/C5</f>
        <v>3.1666666666666665</v>
      </c>
      <c r="F5" s="2">
        <v>32</v>
      </c>
      <c r="G5" s="4">
        <v>3.59</v>
      </c>
    </row>
    <row r="6" spans="1:7" ht="19.5" customHeight="1">
      <c r="A6" s="11"/>
      <c r="B6" s="2" t="s">
        <v>12</v>
      </c>
      <c r="C6" s="2">
        <v>38</v>
      </c>
      <c r="D6" s="2">
        <v>258</v>
      </c>
      <c r="E6" s="3">
        <f t="shared" si="0"/>
        <v>6.7894736842105265</v>
      </c>
      <c r="F6" s="2">
        <v>45</v>
      </c>
      <c r="G6" s="4">
        <v>4.87</v>
      </c>
    </row>
    <row r="7" spans="1:7" ht="19.5" customHeight="1">
      <c r="A7" s="11"/>
      <c r="B7" s="2" t="s">
        <v>13</v>
      </c>
      <c r="C7" s="2">
        <v>24</v>
      </c>
      <c r="D7" s="2">
        <v>81</v>
      </c>
      <c r="E7" s="3">
        <f t="shared" si="0"/>
        <v>3.375</v>
      </c>
      <c r="F7" s="2">
        <v>26</v>
      </c>
      <c r="G7" s="4">
        <v>4.1399999999999997</v>
      </c>
    </row>
    <row r="8" spans="1:7" ht="19.5" customHeight="1">
      <c r="A8" s="11"/>
      <c r="B8" s="2" t="s">
        <v>14</v>
      </c>
      <c r="C8" s="2">
        <v>24</v>
      </c>
      <c r="D8" s="2">
        <v>87</v>
      </c>
      <c r="E8" s="3">
        <f t="shared" si="0"/>
        <v>3.625</v>
      </c>
      <c r="F8" s="2">
        <v>35</v>
      </c>
      <c r="G8" s="4">
        <v>5.37</v>
      </c>
    </row>
    <row r="9" spans="1:7" ht="19.5" customHeight="1">
      <c r="A9" s="11"/>
      <c r="B9" s="2" t="s">
        <v>15</v>
      </c>
      <c r="C9" s="2">
        <v>30</v>
      </c>
      <c r="D9" s="2">
        <v>144</v>
      </c>
      <c r="E9" s="3">
        <f t="shared" si="0"/>
        <v>4.8</v>
      </c>
      <c r="F9" s="2">
        <v>35</v>
      </c>
      <c r="G9" s="4">
        <v>4.6900000000000004</v>
      </c>
    </row>
    <row r="10" spans="1:7" ht="19.5" customHeight="1">
      <c r="A10" s="11"/>
      <c r="B10" s="5" t="s">
        <v>16</v>
      </c>
      <c r="C10" s="2">
        <v>46</v>
      </c>
      <c r="D10" s="2">
        <v>152</v>
      </c>
      <c r="E10" s="3">
        <f t="shared" si="0"/>
        <v>3.3043478260869565</v>
      </c>
      <c r="F10" s="2">
        <v>61</v>
      </c>
      <c r="G10" s="4">
        <v>5.46</v>
      </c>
    </row>
    <row r="11" spans="1:7" ht="19.5" customHeight="1">
      <c r="A11" s="11"/>
      <c r="B11" s="2" t="s">
        <v>17</v>
      </c>
      <c r="C11" s="2">
        <v>22</v>
      </c>
      <c r="D11" s="2">
        <v>67</v>
      </c>
      <c r="E11" s="3">
        <f t="shared" si="0"/>
        <v>3.0454545454545454</v>
      </c>
      <c r="F11" s="2">
        <v>27</v>
      </c>
      <c r="G11" s="4">
        <v>5.48</v>
      </c>
    </row>
    <row r="12" spans="1:7" ht="19.5" customHeight="1">
      <c r="A12" s="11"/>
      <c r="B12" s="2" t="s">
        <v>18</v>
      </c>
      <c r="C12" s="2">
        <v>35</v>
      </c>
      <c r="D12" s="2">
        <v>103</v>
      </c>
      <c r="E12" s="3">
        <f t="shared" si="0"/>
        <v>2.9428571428571431</v>
      </c>
      <c r="F12" s="2">
        <v>40</v>
      </c>
      <c r="G12" s="4">
        <v>5.69</v>
      </c>
    </row>
    <row r="13" spans="1:7" ht="19.5" customHeight="1">
      <c r="A13" s="11"/>
      <c r="B13" s="2" t="s">
        <v>19</v>
      </c>
      <c r="C13" s="2">
        <v>22</v>
      </c>
      <c r="D13" s="2">
        <v>54</v>
      </c>
      <c r="E13" s="3">
        <f t="shared" si="0"/>
        <v>2.4545454545454546</v>
      </c>
      <c r="F13" s="2">
        <v>28</v>
      </c>
      <c r="G13" s="4">
        <v>5.66</v>
      </c>
    </row>
    <row r="14" spans="1:7" ht="19.5" customHeight="1">
      <c r="A14" s="11"/>
      <c r="B14" s="2" t="s">
        <v>20</v>
      </c>
      <c r="C14" s="2">
        <v>46</v>
      </c>
      <c r="D14" s="2">
        <v>139</v>
      </c>
      <c r="E14" s="3">
        <f t="shared" si="0"/>
        <v>3.0217391304347827</v>
      </c>
      <c r="F14" s="2">
        <v>55</v>
      </c>
      <c r="G14" s="4">
        <v>5.64</v>
      </c>
    </row>
    <row r="15" spans="1:7" ht="19.5" customHeight="1">
      <c r="A15" s="11"/>
      <c r="B15" s="2" t="s">
        <v>21</v>
      </c>
      <c r="C15" s="2">
        <v>44</v>
      </c>
      <c r="D15" s="2">
        <v>123</v>
      </c>
      <c r="E15" s="3">
        <f t="shared" si="0"/>
        <v>2.7954545454545454</v>
      </c>
      <c r="F15" s="2">
        <v>54</v>
      </c>
      <c r="G15" s="4">
        <v>5.63</v>
      </c>
    </row>
    <row r="16" spans="1:7" ht="19.5" customHeight="1">
      <c r="A16" s="11"/>
      <c r="B16" s="2" t="s">
        <v>22</v>
      </c>
      <c r="C16" s="2">
        <v>44</v>
      </c>
      <c r="D16" s="2">
        <v>111</v>
      </c>
      <c r="E16" s="3">
        <f t="shared" si="0"/>
        <v>2.5227272727272729</v>
      </c>
      <c r="F16" s="2">
        <v>51</v>
      </c>
      <c r="G16" s="4">
        <v>6.35</v>
      </c>
    </row>
    <row r="17" spans="1:7" ht="19.5" customHeight="1">
      <c r="A17" s="11"/>
      <c r="B17" s="2" t="s">
        <v>23</v>
      </c>
      <c r="C17" s="2">
        <v>10</v>
      </c>
      <c r="D17" s="2">
        <v>190</v>
      </c>
      <c r="E17" s="3">
        <f t="shared" si="0"/>
        <v>19</v>
      </c>
      <c r="F17" s="2">
        <v>16</v>
      </c>
      <c r="G17" s="4">
        <v>1.03</v>
      </c>
    </row>
    <row r="18" spans="1:7" ht="19.5" customHeight="1">
      <c r="A18" s="11"/>
      <c r="B18" s="2" t="s">
        <v>24</v>
      </c>
      <c r="C18" s="2">
        <v>15</v>
      </c>
      <c r="D18" s="2">
        <v>132</v>
      </c>
      <c r="E18" s="3">
        <f t="shared" si="0"/>
        <v>8.8000000000000007</v>
      </c>
      <c r="F18" s="2">
        <v>27</v>
      </c>
      <c r="G18" s="4">
        <v>2.62</v>
      </c>
    </row>
    <row r="19" spans="1:7" ht="19.5" customHeight="1">
      <c r="A19" s="11" t="s">
        <v>25</v>
      </c>
      <c r="B19" s="2" t="s">
        <v>11</v>
      </c>
      <c r="C19" s="2">
        <v>20</v>
      </c>
      <c r="D19" s="2">
        <v>76</v>
      </c>
      <c r="E19" s="3">
        <f t="shared" si="0"/>
        <v>3.8</v>
      </c>
      <c r="F19" s="2">
        <v>38</v>
      </c>
      <c r="G19" s="4">
        <v>3.24</v>
      </c>
    </row>
    <row r="20" spans="1:7" ht="19.5" customHeight="1">
      <c r="A20" s="11"/>
      <c r="B20" s="2" t="s">
        <v>12</v>
      </c>
      <c r="C20" s="2">
        <v>47</v>
      </c>
      <c r="D20" s="2">
        <v>282</v>
      </c>
      <c r="E20" s="3">
        <f t="shared" si="0"/>
        <v>6</v>
      </c>
      <c r="F20" s="2">
        <v>76</v>
      </c>
      <c r="G20" s="4">
        <v>4.46</v>
      </c>
    </row>
    <row r="21" spans="1:7" ht="19.5" customHeight="1">
      <c r="A21" s="11"/>
      <c r="B21" s="2" t="s">
        <v>13</v>
      </c>
      <c r="C21" s="2">
        <v>23</v>
      </c>
      <c r="D21" s="2">
        <v>76</v>
      </c>
      <c r="E21" s="3">
        <f t="shared" si="0"/>
        <v>3.3043478260869565</v>
      </c>
      <c r="F21" s="2">
        <v>41</v>
      </c>
      <c r="G21" s="4">
        <v>3.91</v>
      </c>
    </row>
    <row r="22" spans="1:7" ht="19.5" customHeight="1">
      <c r="A22" s="11"/>
      <c r="B22" s="2" t="s">
        <v>14</v>
      </c>
      <c r="C22" s="2">
        <v>23</v>
      </c>
      <c r="D22" s="2">
        <v>115</v>
      </c>
      <c r="E22" s="3">
        <f t="shared" si="0"/>
        <v>5</v>
      </c>
      <c r="F22" s="2">
        <v>32</v>
      </c>
      <c r="G22" s="4">
        <v>4.8899999999999997</v>
      </c>
    </row>
    <row r="23" spans="1:7" ht="19.5" customHeight="1">
      <c r="A23" s="11"/>
      <c r="B23" s="2" t="s">
        <v>15</v>
      </c>
      <c r="C23" s="2">
        <v>32</v>
      </c>
      <c r="D23" s="2">
        <v>128</v>
      </c>
      <c r="E23" s="3">
        <f t="shared" si="0"/>
        <v>4</v>
      </c>
      <c r="F23" s="2">
        <v>46</v>
      </c>
      <c r="G23" s="4">
        <v>4.28</v>
      </c>
    </row>
    <row r="24" spans="1:7" ht="19.5" customHeight="1">
      <c r="A24" s="11"/>
      <c r="B24" s="5" t="s">
        <v>16</v>
      </c>
      <c r="C24" s="2">
        <v>38</v>
      </c>
      <c r="D24" s="2">
        <v>156</v>
      </c>
      <c r="E24" s="3">
        <f t="shared" si="0"/>
        <v>4.1052631578947372</v>
      </c>
      <c r="F24" s="2">
        <v>63</v>
      </c>
      <c r="G24" s="4">
        <v>4.68</v>
      </c>
    </row>
    <row r="25" spans="1:7" ht="19.5" customHeight="1">
      <c r="A25" s="11"/>
      <c r="B25" s="2" t="s">
        <v>17</v>
      </c>
      <c r="C25" s="2">
        <v>24</v>
      </c>
      <c r="D25" s="2">
        <v>93</v>
      </c>
      <c r="E25" s="3">
        <f t="shared" si="0"/>
        <v>3.875</v>
      </c>
      <c r="F25" s="2">
        <v>50</v>
      </c>
      <c r="G25" s="4">
        <v>5.15</v>
      </c>
    </row>
    <row r="26" spans="1:7" ht="19.5" customHeight="1">
      <c r="A26" s="11"/>
      <c r="B26" s="2" t="s">
        <v>18</v>
      </c>
      <c r="C26" s="2">
        <v>37</v>
      </c>
      <c r="D26" s="2">
        <v>133</v>
      </c>
      <c r="E26" s="3">
        <f t="shared" si="0"/>
        <v>3.5945945945945947</v>
      </c>
      <c r="F26" s="2">
        <v>50</v>
      </c>
      <c r="G26" s="4">
        <v>5.26</v>
      </c>
    </row>
    <row r="27" spans="1:7" ht="19.5" customHeight="1">
      <c r="A27" s="11"/>
      <c r="B27" s="2" t="s">
        <v>19</v>
      </c>
      <c r="C27" s="2">
        <v>8</v>
      </c>
      <c r="D27" s="2">
        <v>38</v>
      </c>
      <c r="E27" s="3">
        <f t="shared" si="0"/>
        <v>4.75</v>
      </c>
      <c r="F27" s="2">
        <v>11</v>
      </c>
      <c r="G27" s="4">
        <v>4.82</v>
      </c>
    </row>
    <row r="28" spans="1:7" ht="19.5" customHeight="1">
      <c r="A28" s="11"/>
      <c r="B28" s="2" t="s">
        <v>20</v>
      </c>
      <c r="C28" s="2">
        <v>47</v>
      </c>
      <c r="D28" s="2">
        <v>192</v>
      </c>
      <c r="E28" s="3">
        <f t="shared" si="0"/>
        <v>4.0851063829787231</v>
      </c>
      <c r="F28" s="2">
        <v>83</v>
      </c>
      <c r="G28" s="4">
        <v>5.08</v>
      </c>
    </row>
    <row r="29" spans="1:7" ht="19.5" customHeight="1">
      <c r="A29" s="11"/>
      <c r="B29" s="2" t="s">
        <v>21</v>
      </c>
      <c r="C29" s="2">
        <v>53</v>
      </c>
      <c r="D29" s="2">
        <v>180</v>
      </c>
      <c r="E29" s="3">
        <f t="shared" si="0"/>
        <v>3.3962264150943398</v>
      </c>
      <c r="F29" s="2">
        <v>86</v>
      </c>
      <c r="G29" s="4">
        <v>5.31</v>
      </c>
    </row>
    <row r="30" spans="1:7" ht="19.5" customHeight="1">
      <c r="A30" s="11"/>
      <c r="B30" s="2" t="s">
        <v>22</v>
      </c>
      <c r="C30" s="2">
        <v>41</v>
      </c>
      <c r="D30" s="2">
        <v>164</v>
      </c>
      <c r="E30" s="3">
        <f t="shared" si="0"/>
        <v>4</v>
      </c>
      <c r="F30" s="2">
        <v>80</v>
      </c>
      <c r="G30" s="4">
        <v>5.51</v>
      </c>
    </row>
    <row r="31" spans="1:7" ht="19.5" customHeight="1">
      <c r="A31" s="11"/>
      <c r="B31" s="2" t="s">
        <v>23</v>
      </c>
      <c r="C31" s="2">
        <v>13</v>
      </c>
      <c r="D31" s="2">
        <v>167</v>
      </c>
      <c r="E31" s="3">
        <f t="shared" si="0"/>
        <v>12.846153846153847</v>
      </c>
      <c r="F31" s="2">
        <v>15</v>
      </c>
      <c r="G31" s="4">
        <v>1.1299999999999999</v>
      </c>
    </row>
    <row r="32" spans="1:7" ht="19.5" customHeight="1">
      <c r="A32" s="11"/>
      <c r="B32" s="2" t="s">
        <v>24</v>
      </c>
      <c r="C32" s="2">
        <v>13</v>
      </c>
      <c r="D32" s="2">
        <v>110</v>
      </c>
      <c r="E32" s="3">
        <f t="shared" si="0"/>
        <v>8.4615384615384617</v>
      </c>
      <c r="F32" s="2">
        <v>22</v>
      </c>
      <c r="G32" s="4">
        <v>2.2999999999999998</v>
      </c>
    </row>
    <row r="33" spans="1:7" ht="19.5" customHeight="1">
      <c r="A33" s="11" t="s">
        <v>26</v>
      </c>
      <c r="B33" s="2" t="s">
        <v>23</v>
      </c>
      <c r="C33" s="2">
        <v>1</v>
      </c>
      <c r="D33" s="2">
        <v>22</v>
      </c>
      <c r="E33" s="3">
        <f t="shared" si="0"/>
        <v>22</v>
      </c>
      <c r="F33" s="2">
        <v>2</v>
      </c>
      <c r="G33" s="4">
        <v>1.3</v>
      </c>
    </row>
    <row r="34" spans="1:7" ht="19.5" customHeight="1">
      <c r="A34" s="11"/>
      <c r="B34" s="2" t="s">
        <v>24</v>
      </c>
      <c r="C34" s="2">
        <v>3</v>
      </c>
      <c r="D34" s="2">
        <v>28</v>
      </c>
      <c r="E34" s="3">
        <f t="shared" si="0"/>
        <v>9.3333333333333339</v>
      </c>
      <c r="F34" s="2">
        <v>6</v>
      </c>
      <c r="G34" s="4">
        <v>2.79</v>
      </c>
    </row>
  </sheetData>
  <sheetProtection algorithmName="SHA-512" hashValue="PeByL5PxgRTqKTZ+qCxFripCzEzR8GJ2iyWk6MTK23nTV6I9tfPHkbor6H7VSIyqZht/7usYx93yMaX83NkHwg==" saltValue="gOAWROUwC2L7hSBTuKEQeA==" spinCount="100000" sheet="1" objects="1" scenarios="1" insertColumns="0" insertRows="0" deleteColumns="0" deleteRows="0"/>
  <mergeCells count="6">
    <mergeCell ref="A33:A34"/>
    <mergeCell ref="A1:G1"/>
    <mergeCell ref="A2:G2"/>
    <mergeCell ref="A3:G3"/>
    <mergeCell ref="A5:A18"/>
    <mergeCell ref="A19:A32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수시(학생부종합형)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정다영</dc:creator>
  <cp:lastModifiedBy>정다영</cp:lastModifiedBy>
  <dcterms:created xsi:type="dcterms:W3CDTF">2026-04-06T05:43:41Z</dcterms:created>
  <dcterms:modified xsi:type="dcterms:W3CDTF">2026-04-06T05:48:04Z</dcterms:modified>
</cp:coreProperties>
</file>